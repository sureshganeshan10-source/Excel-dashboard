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tables/table4.xml" ContentType="application/vnd.openxmlformats-officedocument.spreadsheetml.table+xml"/>
  <Override PartName="/xl/tables/table5.xml" ContentType="application/vnd.openxmlformats-officedocument.spreadsheetml.table+xml"/>
  <Override PartName="/xl/queryTables/queryTable2.xml" ContentType="application/vnd.openxmlformats-officedocument.spreadsheetml.queryTable+xml"/>
  <Override PartName="/xl/tables/table6.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fef411aed496ef6d/Documents/"/>
    </mc:Choice>
  </mc:AlternateContent>
  <xr:revisionPtr revIDLastSave="0" documentId="8_{91B10111-C1F5-415D-9DFA-5556FA2A02CF}" xr6:coauthVersionLast="47" xr6:coauthVersionMax="47" xr10:uidLastSave="{00000000-0000-0000-0000-000000000000}"/>
  <bookViews>
    <workbookView xWindow="-108" yWindow="-108" windowWidth="23256" windowHeight="12456" activeTab="7" xr2:uid="{BB3CE4E2-3977-4BEB-8A25-26E27EB78C61}"/>
  </bookViews>
  <sheets>
    <sheet name="Sheet1" sheetId="2" r:id="rId1"/>
    <sheet name="Sheet2" sheetId="5" r:id="rId2"/>
    <sheet name="Table9" sheetId="7" r:id="rId3"/>
    <sheet name="Sheet3" sheetId="6" r:id="rId4"/>
    <sheet name="Sheet4" sheetId="8" r:id="rId5"/>
    <sheet name="Sheet5" sheetId="9" r:id="rId6"/>
    <sheet name="Pivot table" sheetId="10" r:id="rId7"/>
    <sheet name="Dashbord" sheetId="11" r:id="rId8"/>
  </sheets>
  <definedNames>
    <definedName name="ExternalData_1" localSheetId="3" hidden="1">Sheet3!$H$1:$H$9</definedName>
    <definedName name="ExternalData_1" localSheetId="2" hidden="1">Table9!$A$1:$A$9</definedName>
    <definedName name="Slicer_Product">#N/A</definedName>
    <definedName name="Slicer_Region">#N/A</definedName>
    <definedName name="Slicer_Sales_Person">#N/A</definedName>
  </definedNames>
  <calcPr calcId="191029"/>
  <pivotCaches>
    <pivotCache cacheId="1"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 i="9" l="1"/>
  <c r="K4" i="9"/>
  <c r="K2" i="9"/>
  <c r="K8" i="9"/>
  <c r="I3" i="9"/>
  <c r="I4" i="9"/>
  <c r="I5" i="9"/>
  <c r="I6" i="9"/>
  <c r="I7" i="9"/>
  <c r="I8" i="9"/>
  <c r="I9" i="9"/>
  <c r="I10" i="9"/>
  <c r="I11" i="9"/>
  <c r="I12" i="9"/>
  <c r="I13" i="9"/>
  <c r="I14" i="9"/>
  <c r="I15" i="9"/>
  <c r="I16" i="9"/>
  <c r="I17" i="9"/>
  <c r="I18" i="9"/>
  <c r="I19" i="9"/>
  <c r="I20" i="9"/>
  <c r="I21" i="9"/>
  <c r="I22" i="9"/>
  <c r="I23" i="9"/>
  <c r="I24" i="9"/>
  <c r="I25" i="9"/>
  <c r="I26" i="9"/>
  <c r="I27" i="9"/>
  <c r="I28" i="9"/>
  <c r="I29" i="9"/>
  <c r="I30" i="9"/>
  <c r="I31" i="9"/>
  <c r="I2" i="9"/>
  <c r="C3" i="6"/>
  <c r="C4" i="6"/>
  <c r="C5" i="6"/>
  <c r="C6" i="6"/>
  <c r="C7" i="6"/>
  <c r="C8" i="6"/>
  <c r="C2" i="6"/>
  <c r="F16" i="5"/>
  <c r="H15" i="5"/>
  <c r="H16" i="5" s="1"/>
  <c r="G15" i="5"/>
  <c r="G16" i="5" s="1"/>
  <c r="F15" i="5"/>
  <c r="E16" i="5" s="1"/>
  <c r="E15" i="5"/>
  <c r="D15" i="5"/>
  <c r="D16" i="5" s="1"/>
  <c r="H16" i="2"/>
  <c r="G16" i="2"/>
  <c r="F16" i="2"/>
  <c r="E16" i="2"/>
  <c r="D16"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572873D-8D20-4472-9F91-4411CD7F432A}" keepAlive="1" name="Query - Table3_1" description="Connection to the 'Table3_1' query in the workbook." type="5" refreshedVersion="0" background="1" saveData="1">
    <dbPr connection="Provider=Microsoft.Mashup.OleDb.1;Data Source=$Workbook$;Location=Table3_1;Extended Properties=&quot;&quot;" command="SELECT * FROM [Table3_1]"/>
  </connection>
  <connection id="2" xr16:uid="{AA583D8C-5E22-4FFC-83D5-9D9EB1D734CF}" keepAlive="1" name="Query - Table9" description="Connection to the 'Table9' query in the workbook." type="5" refreshedVersion="8" background="1" saveData="1">
    <dbPr connection="Provider=Microsoft.Mashup.OleDb.1;Data Source=$Workbook$;Location=Table9;Extended Properties=&quot;&quot;" command="SELECT * FROM [Table9]"/>
  </connection>
  <connection id="3" xr16:uid="{5BF34485-4853-4005-BE25-43B5004E7577}" keepAlive="1" name="Query - Table9 (2)" description="Connection to the 'Table9 (2)' query in the workbook." type="5" refreshedVersion="8" background="1" saveData="1">
    <dbPr connection="Provider=Microsoft.Mashup.OleDb.1;Data Source=$Workbook$;Location=&quot;Table9 (2)&quot;;Extended Properties=&quot;&quot;" command="SELECT * FROM [Table9 (2)]"/>
  </connection>
</connections>
</file>

<file path=xl/sharedStrings.xml><?xml version="1.0" encoding="utf-8"?>
<sst xmlns="http://schemas.openxmlformats.org/spreadsheetml/2006/main" count="263" uniqueCount="109">
  <si>
    <t>Day 2 Work</t>
  </si>
  <si>
    <t>Name</t>
  </si>
  <si>
    <t>class</t>
  </si>
  <si>
    <t>Roll num</t>
  </si>
  <si>
    <t>Column1</t>
  </si>
  <si>
    <t>Column2</t>
  </si>
  <si>
    <t>Column3</t>
  </si>
  <si>
    <t>Column4</t>
  </si>
  <si>
    <t>Column5</t>
  </si>
  <si>
    <t>Column6</t>
  </si>
  <si>
    <t>Column7</t>
  </si>
  <si>
    <t>Column8</t>
  </si>
  <si>
    <t>Siva</t>
  </si>
  <si>
    <t>Suresh</t>
  </si>
  <si>
    <t>Ramesh</t>
  </si>
  <si>
    <t>Prakash</t>
  </si>
  <si>
    <t>Pramesh</t>
  </si>
  <si>
    <t>Prabu</t>
  </si>
  <si>
    <t>Mano</t>
  </si>
  <si>
    <t>Mani</t>
  </si>
  <si>
    <t>Veera</t>
  </si>
  <si>
    <t>Sudhish</t>
  </si>
  <si>
    <t>Saravana</t>
  </si>
  <si>
    <t>Thiru</t>
  </si>
  <si>
    <t>Aathi</t>
  </si>
  <si>
    <t>A</t>
  </si>
  <si>
    <t>B</t>
  </si>
  <si>
    <t>Sub1 Mark</t>
  </si>
  <si>
    <t>Sub2 Mark</t>
  </si>
  <si>
    <t>Sub3 Mark</t>
  </si>
  <si>
    <t>Sub4 Mark</t>
  </si>
  <si>
    <t>Sub5 Mark</t>
  </si>
  <si>
    <t>Total</t>
  </si>
  <si>
    <t xml:space="preserve"> -</t>
  </si>
  <si>
    <t>formating text function</t>
  </si>
  <si>
    <t>S443DE</t>
  </si>
  <si>
    <t>OER55</t>
  </si>
  <si>
    <t>MDF543</t>
  </si>
  <si>
    <t>4839H</t>
  </si>
  <si>
    <t>Text formating</t>
  </si>
  <si>
    <t>0056</t>
  </si>
  <si>
    <t>0078</t>
  </si>
  <si>
    <t>0034</t>
  </si>
  <si>
    <t>Founction Mark [']</t>
  </si>
  <si>
    <t>0045</t>
  </si>
  <si>
    <t>00tu8</t>
  </si>
  <si>
    <t>00HTY</t>
  </si>
  <si>
    <t>00OP</t>
  </si>
  <si>
    <t>00D657</t>
  </si>
  <si>
    <t>00ghui9</t>
  </si>
  <si>
    <t>00345HH</t>
  </si>
  <si>
    <t>POWER Query</t>
  </si>
  <si>
    <t>FGH8</t>
  </si>
  <si>
    <t>HD67</t>
  </si>
  <si>
    <t>leding zero</t>
  </si>
  <si>
    <t>000867</t>
  </si>
  <si>
    <t>000045</t>
  </si>
  <si>
    <t>00FGH8</t>
  </si>
  <si>
    <t>00HD67</t>
  </si>
  <si>
    <t>009876</t>
  </si>
  <si>
    <t>000056</t>
  </si>
  <si>
    <t>000087</t>
  </si>
  <si>
    <t>00DER5</t>
  </si>
  <si>
    <t>8HG9</t>
  </si>
  <si>
    <t>008HG9</t>
  </si>
  <si>
    <t>Company</t>
  </si>
  <si>
    <t>MRF</t>
  </si>
  <si>
    <t>CEAT</t>
  </si>
  <si>
    <t>TVS</t>
  </si>
  <si>
    <t>APOLLO</t>
  </si>
  <si>
    <t>BRIDGESTONE</t>
  </si>
  <si>
    <t>Purchase</t>
  </si>
  <si>
    <t xml:space="preserve"> </t>
  </si>
  <si>
    <t xml:space="preserve">   </t>
  </si>
  <si>
    <t>sales</t>
  </si>
  <si>
    <t>Date</t>
  </si>
  <si>
    <t>Sales Person</t>
  </si>
  <si>
    <t>Region</t>
  </si>
  <si>
    <t>Product</t>
  </si>
  <si>
    <t>Units Sold</t>
  </si>
  <si>
    <t>Unit Price (Rs.)</t>
  </si>
  <si>
    <t>Cost of Goods (Rs.)</t>
  </si>
  <si>
    <t>Total Sales (Rs.)</t>
  </si>
  <si>
    <t>Rahul</t>
  </si>
  <si>
    <t>North</t>
  </si>
  <si>
    <t>Laptop</t>
  </si>
  <si>
    <t>Priya</t>
  </si>
  <si>
    <t>South</t>
  </si>
  <si>
    <t>Mobile</t>
  </si>
  <si>
    <t>Arjun</t>
  </si>
  <si>
    <t>East</t>
  </si>
  <si>
    <t>Tablet</t>
  </si>
  <si>
    <t>Meena</t>
  </si>
  <si>
    <t>West</t>
  </si>
  <si>
    <t>Headphones</t>
  </si>
  <si>
    <t>Karthik</t>
  </si>
  <si>
    <t>Smart Watch</t>
  </si>
  <si>
    <t>Divya</t>
  </si>
  <si>
    <t>Kavya</t>
  </si>
  <si>
    <t>Manoj</t>
  </si>
  <si>
    <t>Anitha</t>
  </si>
  <si>
    <t>Profit</t>
  </si>
  <si>
    <t>Grand Total</t>
  </si>
  <si>
    <t>Unit Sold</t>
  </si>
  <si>
    <t>Total Profit</t>
  </si>
  <si>
    <t>Average Sales</t>
  </si>
  <si>
    <t>Row Labels</t>
  </si>
  <si>
    <t>Sum of Total Sales (Rs.)</t>
  </si>
  <si>
    <t>Sum of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</si>
</sst>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0"/>
    <numFmt numFmtId="165" formatCode="&quot;₹&quot;\ #,##0.00"/>
    <numFmt numFmtId="166" formatCode="&quot;₹&quot;\ #,##0"/>
  </numFmts>
  <fonts count="4" x14ac:knownFonts="1">
    <font>
      <sz val="11"/>
      <color theme="1"/>
      <name val="Aptos Narrow"/>
      <family val="2"/>
      <scheme val="minor"/>
    </font>
    <font>
      <sz val="11"/>
      <color theme="1"/>
      <name val="Arial"/>
      <family val="2"/>
    </font>
    <font>
      <b/>
      <sz val="11"/>
      <color theme="0"/>
      <name val="Arial"/>
      <family val="2"/>
    </font>
    <font>
      <b/>
      <sz val="11"/>
      <color theme="1"/>
      <name val="Aptos Narrow"/>
      <family val="2"/>
      <scheme val="minor"/>
    </font>
  </fonts>
  <fills count="3">
    <fill>
      <patternFill patternType="none"/>
    </fill>
    <fill>
      <patternFill patternType="gray125"/>
    </fill>
    <fill>
      <patternFill patternType="solid">
        <fgColor rgb="FF036195"/>
        <bgColor indexed="64"/>
      </patternFill>
    </fill>
  </fills>
  <borders count="1">
    <border>
      <left/>
      <right/>
      <top/>
      <bottom/>
      <diagonal/>
    </border>
  </borders>
  <cellStyleXfs count="1">
    <xf numFmtId="0" fontId="0" fillId="0" borderId="0"/>
  </cellStyleXfs>
  <cellXfs count="22">
    <xf numFmtId="0" fontId="0" fillId="0" borderId="0" xfId="0"/>
    <xf numFmtId="0" fontId="0" fillId="0" borderId="0" xfId="0" applyAlignment="1">
      <alignment horizontal="center"/>
    </xf>
    <xf numFmtId="0" fontId="1" fillId="0" borderId="0" xfId="0" applyFont="1"/>
    <xf numFmtId="0" fontId="1" fillId="0" borderId="0" xfId="0" applyFont="1" applyAlignment="1">
      <alignment horizontal="center"/>
    </xf>
    <xf numFmtId="0" fontId="2" fillId="2" borderId="0" xfId="0" applyFont="1" applyFill="1"/>
    <xf numFmtId="10" fontId="1" fillId="0" borderId="0" xfId="0" applyNumberFormat="1" applyFont="1" applyAlignment="1">
      <alignment horizontal="center"/>
    </xf>
    <xf numFmtId="0" fontId="0" fillId="0" borderId="0" xfId="0" applyAlignment="1">
      <alignment horizontal="right"/>
    </xf>
    <xf numFmtId="164" fontId="0" fillId="0" borderId="0" xfId="0" applyNumberFormat="1"/>
    <xf numFmtId="164" fontId="0" fillId="0" borderId="0" xfId="0" applyNumberFormat="1" applyAlignment="1">
      <alignment horizontal="right"/>
    </xf>
    <xf numFmtId="49" fontId="0" fillId="0" borderId="0" xfId="0" applyNumberFormat="1"/>
    <xf numFmtId="0" fontId="0" fillId="0" borderId="0" xfId="0" quotePrefix="1"/>
    <xf numFmtId="0" fontId="0" fillId="0" borderId="0" xfId="0" quotePrefix="1" applyAlignment="1">
      <alignment horizontal="left"/>
    </xf>
    <xf numFmtId="0" fontId="3" fillId="0" borderId="0" xfId="0" applyFont="1"/>
    <xf numFmtId="165" fontId="0" fillId="0" borderId="0" xfId="0" applyNumberFormat="1"/>
    <xf numFmtId="166" fontId="0" fillId="0" borderId="0" xfId="0" applyNumberFormat="1"/>
    <xf numFmtId="0" fontId="3" fillId="0" borderId="0" xfId="0" applyFont="1" applyAlignment="1">
      <alignment horizontal="center" vertical="center" wrapText="1"/>
    </xf>
    <xf numFmtId="14" fontId="0" fillId="0" borderId="0" xfId="0" applyNumberFormat="1" applyAlignment="1">
      <alignment vertical="center" wrapText="1"/>
    </xf>
    <xf numFmtId="0" fontId="0" fillId="0" borderId="0" xfId="0" applyAlignment="1">
      <alignment vertical="center" wrapText="1"/>
    </xf>
    <xf numFmtId="0" fontId="0" fillId="0" borderId="0" xfId="0" pivotButton="1"/>
    <xf numFmtId="0" fontId="0" fillId="0" borderId="0" xfId="0" applyAlignment="1">
      <alignment horizontal="left"/>
    </xf>
    <xf numFmtId="166" fontId="0" fillId="0" borderId="0" xfId="0" applyNumberFormat="1" applyAlignment="1">
      <alignment vertical="center" wrapText="1"/>
    </xf>
    <xf numFmtId="0" fontId="0" fillId="0" borderId="0" xfId="0" applyAlignment="1">
      <alignment horizontal="center"/>
    </xf>
  </cellXfs>
  <cellStyles count="1">
    <cellStyle name="Normal" xfId="0" builtinId="0"/>
  </cellStyles>
  <dxfs count="38">
    <dxf>
      <numFmt numFmtId="166" formatCode="&quot;₹&quot;\ #,##0"/>
    </dxf>
    <dxf>
      <numFmt numFmtId="166" formatCode="&quot;₹&quot;\ #,##0"/>
      <alignment horizontal="general" vertical="center" textRotation="0" wrapText="1" indent="0" justifyLastLine="0" shrinkToFit="0" readingOrder="0"/>
    </dxf>
    <dxf>
      <numFmt numFmtId="166" formatCode="&quot;₹&quot;\ #,##0"/>
      <alignment horizontal="general" vertical="center" textRotation="0" wrapText="1" indent="0" justifyLastLine="0" shrinkToFit="0" readingOrder="0"/>
    </dxf>
    <dxf>
      <numFmt numFmtId="166" formatCode="&quot;₹&quot;\ #,##0"/>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9" formatCode="dd/mm/yyyy"/>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b/>
        <i val="0"/>
        <strike val="0"/>
        <condense val="0"/>
        <extend val="0"/>
        <outline val="0"/>
        <shadow val="0"/>
        <u val="none"/>
        <vertAlign val="baseline"/>
        <sz val="11"/>
        <color theme="0"/>
        <name val="Arial"/>
        <family val="2"/>
        <scheme val="none"/>
      </font>
      <fill>
        <patternFill patternType="solid">
          <fgColor indexed="64"/>
          <bgColor rgb="FF036195"/>
        </patternFill>
      </fill>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colors>
    <mruColors>
      <color rgb="FF03619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for fresher.xlsx]Pivot table!PivotTable15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and Region</a:t>
            </a:r>
            <a:endParaRPr lang="en-US"/>
          </a:p>
        </c:rich>
      </c:tx>
      <c:layout>
        <c:manualLayout>
          <c:xMode val="edge"/>
          <c:yMode val="edge"/>
          <c:x val="0.28184011373578305"/>
          <c:y val="0.1008311461067366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3055555555555556"/>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4166666666666666"/>
              <c:y val="2.777777777777769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1944444444444449"/>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0833333333333334"/>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3219-4DD9-94BB-065B08AC5F8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219-4DD9-94BB-065B08AC5F8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219-4DD9-94BB-065B08AC5F8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4-3219-4DD9-94BB-065B08AC5F8D}"/>
              </c:ext>
            </c:extLst>
          </c:dPt>
          <c:dLbls>
            <c:dLbl>
              <c:idx val="0"/>
              <c:layout>
                <c:manualLayout>
                  <c:x val="-0.10833333333333334"/>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219-4DD9-94BB-065B08AC5F8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table'!$A$4:$A$5</c:f>
              <c:strCache>
                <c:ptCount val="1"/>
                <c:pt idx="0">
                  <c:v>South</c:v>
                </c:pt>
              </c:strCache>
            </c:strRef>
          </c:cat>
          <c:val>
            <c:numRef>
              <c:f>'Pivot table'!$B$4:$B$5</c:f>
              <c:numCache>
                <c:formatCode>General</c:formatCode>
                <c:ptCount val="1"/>
                <c:pt idx="0">
                  <c:v>9385000</c:v>
                </c:pt>
              </c:numCache>
            </c:numRef>
          </c:val>
          <c:extLst>
            <c:ext xmlns:c16="http://schemas.microsoft.com/office/drawing/2014/chart" uri="{C3380CC4-5D6E-409C-BE32-E72D297353CC}">
              <c16:uniqueId val="{00000000-3219-4DD9-94BB-065B08AC5F8D}"/>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for fresher.xlsx]Pivot table!PivotTable17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table'!$F$3</c:f>
              <c:strCache>
                <c:ptCount val="1"/>
                <c:pt idx="0">
                  <c:v>Total</c:v>
                </c:pt>
              </c:strCache>
            </c:strRef>
          </c:tx>
          <c:spPr>
            <a:solidFill>
              <a:schemeClr val="accent1"/>
            </a:solidFill>
            <a:ln>
              <a:noFill/>
            </a:ln>
            <a:effectLst/>
          </c:spPr>
          <c:invertIfNegative val="0"/>
          <c:dPt>
            <c:idx val="1"/>
            <c:invertIfNegative val="0"/>
            <c:bubble3D val="0"/>
            <c:spPr>
              <a:solidFill>
                <a:schemeClr val="accent1"/>
              </a:solidFill>
              <a:ln>
                <a:noFill/>
              </a:ln>
              <a:effectLst/>
            </c:spPr>
            <c:extLst>
              <c:ext xmlns:c16="http://schemas.microsoft.com/office/drawing/2014/chart" uri="{C3380CC4-5D6E-409C-BE32-E72D297353CC}">
                <c16:uniqueId val="{00000002-6E54-4EAE-8572-29321ACEF42E}"/>
              </c:ext>
            </c:extLst>
          </c:dPt>
          <c:dLbls>
            <c:dLbl>
              <c:idx val="1"/>
              <c:layout>
                <c:manualLayout>
                  <c:x val="0"/>
                  <c:y val="-4.629629629629629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E54-4EAE-8572-29321ACEF42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table'!$E$4:$E$9</c:f>
              <c:strCache>
                <c:ptCount val="5"/>
                <c:pt idx="0">
                  <c:v>Headphones</c:v>
                </c:pt>
                <c:pt idx="1">
                  <c:v>Laptop</c:v>
                </c:pt>
                <c:pt idx="2">
                  <c:v>Mobile</c:v>
                </c:pt>
                <c:pt idx="3">
                  <c:v>Smart Watch</c:v>
                </c:pt>
                <c:pt idx="4">
                  <c:v>Tablet</c:v>
                </c:pt>
              </c:strCache>
            </c:strRef>
          </c:cat>
          <c:val>
            <c:numRef>
              <c:f>'Pivot table'!$F$4:$F$9</c:f>
              <c:numCache>
                <c:formatCode>General</c:formatCode>
                <c:ptCount val="5"/>
                <c:pt idx="0">
                  <c:v>825000</c:v>
                </c:pt>
                <c:pt idx="1">
                  <c:v>4180000</c:v>
                </c:pt>
                <c:pt idx="2">
                  <c:v>2960000</c:v>
                </c:pt>
                <c:pt idx="3">
                  <c:v>700000</c:v>
                </c:pt>
                <c:pt idx="4">
                  <c:v>720000</c:v>
                </c:pt>
              </c:numCache>
            </c:numRef>
          </c:val>
          <c:extLst>
            <c:ext xmlns:c16="http://schemas.microsoft.com/office/drawing/2014/chart" uri="{C3380CC4-5D6E-409C-BE32-E72D297353CC}">
              <c16:uniqueId val="{00000000-6E54-4EAE-8572-29321ACEF42E}"/>
            </c:ext>
          </c:extLst>
        </c:ser>
        <c:dLbls>
          <c:showLegendKey val="0"/>
          <c:showVal val="0"/>
          <c:showCatName val="0"/>
          <c:showSerName val="0"/>
          <c:showPercent val="0"/>
          <c:showBubbleSize val="0"/>
        </c:dLbls>
        <c:gapWidth val="82"/>
        <c:axId val="59930320"/>
        <c:axId val="59920720"/>
      </c:barChart>
      <c:catAx>
        <c:axId val="59930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920720"/>
        <c:crosses val="autoZero"/>
        <c:auto val="1"/>
        <c:lblAlgn val="ctr"/>
        <c:lblOffset val="100"/>
        <c:noMultiLvlLbl val="0"/>
      </c:catAx>
      <c:valAx>
        <c:axId val="59920720"/>
        <c:scaling>
          <c:orientation val="minMax"/>
        </c:scaling>
        <c:delete val="1"/>
        <c:axPos val="b"/>
        <c:numFmt formatCode="General" sourceLinked="1"/>
        <c:majorTickMark val="none"/>
        <c:minorTickMark val="none"/>
        <c:tickLblPos val="nextTo"/>
        <c:crossAx val="59930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for fresher.xlsx]Pivot table!PivotTable18</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table'!$J$3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table'!$I$4:$I$9</c:f>
              <c:strCache>
                <c:ptCount val="5"/>
                <c:pt idx="0">
                  <c:v>Anitha</c:v>
                </c:pt>
                <c:pt idx="1">
                  <c:v>Divya</c:v>
                </c:pt>
                <c:pt idx="2">
                  <c:v>Kavya</c:v>
                </c:pt>
                <c:pt idx="3">
                  <c:v>Meena</c:v>
                </c:pt>
                <c:pt idx="4">
                  <c:v>Priya</c:v>
                </c:pt>
              </c:strCache>
            </c:strRef>
          </c:cat>
          <c:val>
            <c:numRef>
              <c:f>'Pivot table'!$J$4:$J$9</c:f>
              <c:numCache>
                <c:formatCode>General</c:formatCode>
                <c:ptCount val="5"/>
                <c:pt idx="0">
                  <c:v>825000</c:v>
                </c:pt>
                <c:pt idx="1">
                  <c:v>4180000</c:v>
                </c:pt>
                <c:pt idx="2">
                  <c:v>720000</c:v>
                </c:pt>
                <c:pt idx="3">
                  <c:v>700000</c:v>
                </c:pt>
                <c:pt idx="4">
                  <c:v>2960000</c:v>
                </c:pt>
              </c:numCache>
            </c:numRef>
          </c:val>
          <c:extLst>
            <c:ext xmlns:c16="http://schemas.microsoft.com/office/drawing/2014/chart" uri="{C3380CC4-5D6E-409C-BE32-E72D297353CC}">
              <c16:uniqueId val="{00000000-84DB-457F-B4BA-0D9DF7716A90}"/>
            </c:ext>
          </c:extLst>
        </c:ser>
        <c:dLbls>
          <c:dLblPos val="outEnd"/>
          <c:showLegendKey val="0"/>
          <c:showVal val="1"/>
          <c:showCatName val="0"/>
          <c:showSerName val="0"/>
          <c:showPercent val="0"/>
          <c:showBubbleSize val="0"/>
        </c:dLbls>
        <c:gapWidth val="69"/>
        <c:overlap val="-27"/>
        <c:axId val="59925520"/>
        <c:axId val="59923600"/>
      </c:barChart>
      <c:catAx>
        <c:axId val="59925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923600"/>
        <c:crosses val="autoZero"/>
        <c:auto val="1"/>
        <c:lblAlgn val="ctr"/>
        <c:lblOffset val="100"/>
        <c:noMultiLvlLbl val="0"/>
      </c:catAx>
      <c:valAx>
        <c:axId val="59923600"/>
        <c:scaling>
          <c:orientation val="minMax"/>
        </c:scaling>
        <c:delete val="1"/>
        <c:axPos val="l"/>
        <c:numFmt formatCode="General" sourceLinked="1"/>
        <c:majorTickMark val="none"/>
        <c:minorTickMark val="none"/>
        <c:tickLblPos val="nextTo"/>
        <c:crossAx val="59925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for fresher.xlsx]Pivot table!PivotTable19</c:name>
    <c:fmtId val="1"/>
  </c:pivotSource>
  <c:chart>
    <c:autoTitleDeleted val="1"/>
    <c:pivotFmts>
      <c:pivotFmt>
        <c:idx val="0"/>
        <c:spPr>
          <a:ln w="25400" cap="rnd">
            <a:solidFill>
              <a:schemeClr val="lt1"/>
            </a:solidFill>
            <a:round/>
          </a:ln>
          <a:effectLst>
            <a:outerShdw dist="25400" dir="2700000" algn="tl" rotWithShape="0">
              <a:schemeClr val="accent1"/>
            </a:outerShdw>
          </a:effectLst>
        </c:spPr>
        <c:marker>
          <c:symbol val="diamond"/>
          <c:size val="9"/>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table'!$O$3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diamond"/>
            <c:size val="9"/>
            <c:spPr>
              <a:solidFill>
                <a:schemeClr val="accent1"/>
              </a:solidFill>
              <a:ln>
                <a:noFill/>
              </a:ln>
              <a:effectLst/>
            </c:spPr>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table'!$N$4:$N$9</c:f>
              <c:strCache>
                <c:ptCount val="5"/>
                <c:pt idx="0">
                  <c:v>Headphones</c:v>
                </c:pt>
                <c:pt idx="1">
                  <c:v>Laptop</c:v>
                </c:pt>
                <c:pt idx="2">
                  <c:v>Mobile</c:v>
                </c:pt>
                <c:pt idx="3">
                  <c:v>Smart Watch</c:v>
                </c:pt>
                <c:pt idx="4">
                  <c:v>Tablet</c:v>
                </c:pt>
              </c:strCache>
            </c:strRef>
          </c:cat>
          <c:val>
            <c:numRef>
              <c:f>'Pivot table'!$O$4:$O$9</c:f>
              <c:numCache>
                <c:formatCode>General</c:formatCode>
                <c:ptCount val="5"/>
                <c:pt idx="0">
                  <c:v>275</c:v>
                </c:pt>
                <c:pt idx="1">
                  <c:v>76</c:v>
                </c:pt>
                <c:pt idx="2">
                  <c:v>148</c:v>
                </c:pt>
                <c:pt idx="3">
                  <c:v>70</c:v>
                </c:pt>
                <c:pt idx="4">
                  <c:v>48</c:v>
                </c:pt>
              </c:numCache>
            </c:numRef>
          </c:val>
          <c:smooth val="0"/>
          <c:extLst>
            <c:ext xmlns:c16="http://schemas.microsoft.com/office/drawing/2014/chart" uri="{C3380CC4-5D6E-409C-BE32-E72D297353CC}">
              <c16:uniqueId val="{00000000-508E-41E8-8C84-FE2B58E368C2}"/>
            </c:ext>
          </c:extLst>
        </c:ser>
        <c:dLbls>
          <c:dLblPos val="ctr"/>
          <c:showLegendKey val="0"/>
          <c:showVal val="1"/>
          <c:showCatName val="0"/>
          <c:showSerName val="0"/>
          <c:showPercent val="0"/>
          <c:showBubbleSize val="0"/>
        </c:dLbls>
        <c:dropLines>
          <c:spPr>
            <a:ln w="9525" cap="flat" cmpd="sng" algn="ctr">
              <a:solidFill>
                <a:schemeClr val="accent1"/>
              </a:solidFill>
              <a:round/>
            </a:ln>
            <a:effectLst/>
          </c:spPr>
        </c:dropLines>
        <c:marker val="1"/>
        <c:smooth val="0"/>
        <c:axId val="1792040208"/>
        <c:axId val="1792050288"/>
      </c:lineChart>
      <c:catAx>
        <c:axId val="1792040208"/>
        <c:scaling>
          <c:orientation val="minMax"/>
        </c:scaling>
        <c:delete val="0"/>
        <c:axPos val="b"/>
        <c:numFmt formatCode="General" sourceLinked="1"/>
        <c:majorTickMark val="none"/>
        <c:minorTickMark val="none"/>
        <c:tickLblPos val="nextTo"/>
        <c:spPr>
          <a:solidFill>
            <a:schemeClr val="accent1"/>
          </a:solidFill>
          <a:ln w="15875">
            <a:solidFill>
              <a:schemeClr val="accent1"/>
            </a:solid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792050288"/>
        <c:crosses val="autoZero"/>
        <c:auto val="1"/>
        <c:lblAlgn val="ctr"/>
        <c:lblOffset val="100"/>
        <c:noMultiLvlLbl val="0"/>
      </c:catAx>
      <c:valAx>
        <c:axId val="1792050288"/>
        <c:scaling>
          <c:orientation val="minMax"/>
        </c:scaling>
        <c:delete val="1"/>
        <c:axPos val="l"/>
        <c:numFmt formatCode="General" sourceLinked="1"/>
        <c:majorTickMark val="none"/>
        <c:minorTickMark val="none"/>
        <c:tickLblPos val="nextTo"/>
        <c:crossAx val="1792040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for fresher.xlsx]Pivot table!PivotTable19</c:name>
    <c:fmtId val="5"/>
  </c:pivotSource>
  <c:chart>
    <c:autoTitleDeleted val="1"/>
    <c:pivotFmts>
      <c:pivotFmt>
        <c:idx val="0"/>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diamond"/>
          <c:size val="9"/>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table'!$O$3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diamond"/>
            <c:size val="9"/>
            <c:spPr>
              <a:solidFill>
                <a:schemeClr val="accent1"/>
              </a:solidFill>
              <a:ln>
                <a:noFill/>
              </a:ln>
              <a:effectLst/>
            </c:spPr>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table'!$N$4:$N$9</c:f>
              <c:strCache>
                <c:ptCount val="5"/>
                <c:pt idx="0">
                  <c:v>Headphones</c:v>
                </c:pt>
                <c:pt idx="1">
                  <c:v>Laptop</c:v>
                </c:pt>
                <c:pt idx="2">
                  <c:v>Mobile</c:v>
                </c:pt>
                <c:pt idx="3">
                  <c:v>Smart Watch</c:v>
                </c:pt>
                <c:pt idx="4">
                  <c:v>Tablet</c:v>
                </c:pt>
              </c:strCache>
            </c:strRef>
          </c:cat>
          <c:val>
            <c:numRef>
              <c:f>'Pivot table'!$O$4:$O$9</c:f>
              <c:numCache>
                <c:formatCode>General</c:formatCode>
                <c:ptCount val="5"/>
                <c:pt idx="0">
                  <c:v>275</c:v>
                </c:pt>
                <c:pt idx="1">
                  <c:v>76</c:v>
                </c:pt>
                <c:pt idx="2">
                  <c:v>148</c:v>
                </c:pt>
                <c:pt idx="3">
                  <c:v>70</c:v>
                </c:pt>
                <c:pt idx="4">
                  <c:v>48</c:v>
                </c:pt>
              </c:numCache>
            </c:numRef>
          </c:val>
          <c:smooth val="0"/>
          <c:extLst>
            <c:ext xmlns:c16="http://schemas.microsoft.com/office/drawing/2014/chart" uri="{C3380CC4-5D6E-409C-BE32-E72D297353CC}">
              <c16:uniqueId val="{00000000-2487-409B-A735-FF67840313D2}"/>
            </c:ext>
          </c:extLst>
        </c:ser>
        <c:dLbls>
          <c:dLblPos val="ctr"/>
          <c:showLegendKey val="0"/>
          <c:showVal val="1"/>
          <c:showCatName val="0"/>
          <c:showSerName val="0"/>
          <c:showPercent val="0"/>
          <c:showBubbleSize val="0"/>
        </c:dLbls>
        <c:dropLines>
          <c:spPr>
            <a:ln w="9525" cap="flat" cmpd="sng" algn="ctr">
              <a:solidFill>
                <a:schemeClr val="accent1"/>
              </a:solidFill>
              <a:round/>
            </a:ln>
            <a:effectLst/>
          </c:spPr>
        </c:dropLines>
        <c:marker val="1"/>
        <c:smooth val="0"/>
        <c:axId val="1792040208"/>
        <c:axId val="1792050288"/>
      </c:lineChart>
      <c:catAx>
        <c:axId val="1792040208"/>
        <c:scaling>
          <c:orientation val="minMax"/>
        </c:scaling>
        <c:delete val="0"/>
        <c:axPos val="b"/>
        <c:numFmt formatCode="General" sourceLinked="1"/>
        <c:majorTickMark val="none"/>
        <c:minorTickMark val="none"/>
        <c:tickLblPos val="nextTo"/>
        <c:spPr>
          <a:solidFill>
            <a:schemeClr val="accent1"/>
          </a:solidFill>
          <a:ln w="15875">
            <a:solidFill>
              <a:schemeClr val="accent1"/>
            </a:solid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792050288"/>
        <c:crosses val="autoZero"/>
        <c:auto val="1"/>
        <c:lblAlgn val="ctr"/>
        <c:lblOffset val="100"/>
        <c:noMultiLvlLbl val="0"/>
      </c:catAx>
      <c:valAx>
        <c:axId val="1792050288"/>
        <c:scaling>
          <c:orientation val="minMax"/>
        </c:scaling>
        <c:delete val="1"/>
        <c:axPos val="l"/>
        <c:numFmt formatCode="General" sourceLinked="1"/>
        <c:majorTickMark val="none"/>
        <c:minorTickMark val="none"/>
        <c:tickLblPos val="nextTo"/>
        <c:crossAx val="1792040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for fresher.xlsx]Pivot table!PivotTable15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and Region</a:t>
            </a:r>
            <a:endParaRPr lang="en-US"/>
          </a:p>
        </c:rich>
      </c:tx>
      <c:layout>
        <c:manualLayout>
          <c:xMode val="edge"/>
          <c:yMode val="edge"/>
          <c:x val="0.28184011373578305"/>
          <c:y val="0.1008311461067366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3055555555555556"/>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4166666666666666"/>
              <c:y val="2.777777777777769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1944444444444449"/>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0833333333333334"/>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3055555555555556"/>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4166666666666666"/>
              <c:y val="2.777777777777769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0833333333333334"/>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1944444444444449"/>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3055555555555556"/>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4166666666666666"/>
              <c:y val="2.777777777777769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0833333333333334"/>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1944444444444449"/>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1D8-4AE5-8FEC-2B47EF37DE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1D8-4AE5-8FEC-2B47EF37DE2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1D8-4AE5-8FEC-2B47EF37DE2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1D8-4AE5-8FEC-2B47EF37DE2D}"/>
              </c:ext>
            </c:extLst>
          </c:dPt>
          <c:dLbls>
            <c:dLbl>
              <c:idx val="0"/>
              <c:layout>
                <c:manualLayout>
                  <c:x val="-0.10833333333333334"/>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1D8-4AE5-8FEC-2B47EF37DE2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table'!$A$4:$A$5</c:f>
              <c:strCache>
                <c:ptCount val="1"/>
                <c:pt idx="0">
                  <c:v>South</c:v>
                </c:pt>
              </c:strCache>
            </c:strRef>
          </c:cat>
          <c:val>
            <c:numRef>
              <c:f>'Pivot table'!$B$4:$B$5</c:f>
              <c:numCache>
                <c:formatCode>General</c:formatCode>
                <c:ptCount val="1"/>
                <c:pt idx="0">
                  <c:v>9385000</c:v>
                </c:pt>
              </c:numCache>
            </c:numRef>
          </c:val>
          <c:extLst>
            <c:ext xmlns:c16="http://schemas.microsoft.com/office/drawing/2014/chart" uri="{C3380CC4-5D6E-409C-BE32-E72D297353CC}">
              <c16:uniqueId val="{00000008-B1D8-4AE5-8FEC-2B47EF37DE2D}"/>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for fresher.xlsx]Pivot table!PivotTable17</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table'!$F$3</c:f>
              <c:strCache>
                <c:ptCount val="1"/>
                <c:pt idx="0">
                  <c:v>Total</c:v>
                </c:pt>
              </c:strCache>
            </c:strRef>
          </c:tx>
          <c:spPr>
            <a:solidFill>
              <a:schemeClr val="accent1"/>
            </a:solidFill>
            <a:ln>
              <a:noFill/>
            </a:ln>
            <a:effectLst/>
          </c:spPr>
          <c:invertIfNegative val="0"/>
          <c:dPt>
            <c:idx val="1"/>
            <c:invertIfNegative val="0"/>
            <c:bubble3D val="0"/>
            <c:spPr>
              <a:solidFill>
                <a:schemeClr val="accent1"/>
              </a:solidFill>
              <a:ln>
                <a:noFill/>
              </a:ln>
              <a:effectLst/>
            </c:spPr>
            <c:extLst>
              <c:ext xmlns:c16="http://schemas.microsoft.com/office/drawing/2014/chart" uri="{C3380CC4-5D6E-409C-BE32-E72D297353CC}">
                <c16:uniqueId val="{00000001-BF33-4EE3-B788-3F3FE6C1FAB3}"/>
              </c:ext>
            </c:extLst>
          </c:dPt>
          <c:dLbls>
            <c:dLbl>
              <c:idx val="1"/>
              <c:layout>
                <c:manualLayout>
                  <c:x val="0"/>
                  <c:y val="-4.629629629629629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F33-4EE3-B788-3F3FE6C1FAB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table'!$E$4:$E$9</c:f>
              <c:strCache>
                <c:ptCount val="5"/>
                <c:pt idx="0">
                  <c:v>Headphones</c:v>
                </c:pt>
                <c:pt idx="1">
                  <c:v>Laptop</c:v>
                </c:pt>
                <c:pt idx="2">
                  <c:v>Mobile</c:v>
                </c:pt>
                <c:pt idx="3">
                  <c:v>Smart Watch</c:v>
                </c:pt>
                <c:pt idx="4">
                  <c:v>Tablet</c:v>
                </c:pt>
              </c:strCache>
            </c:strRef>
          </c:cat>
          <c:val>
            <c:numRef>
              <c:f>'Pivot table'!$F$4:$F$9</c:f>
              <c:numCache>
                <c:formatCode>General</c:formatCode>
                <c:ptCount val="5"/>
                <c:pt idx="0">
                  <c:v>825000</c:v>
                </c:pt>
                <c:pt idx="1">
                  <c:v>4180000</c:v>
                </c:pt>
                <c:pt idx="2">
                  <c:v>2960000</c:v>
                </c:pt>
                <c:pt idx="3">
                  <c:v>700000</c:v>
                </c:pt>
                <c:pt idx="4">
                  <c:v>720000</c:v>
                </c:pt>
              </c:numCache>
            </c:numRef>
          </c:val>
          <c:extLst>
            <c:ext xmlns:c16="http://schemas.microsoft.com/office/drawing/2014/chart" uri="{C3380CC4-5D6E-409C-BE32-E72D297353CC}">
              <c16:uniqueId val="{00000002-BF33-4EE3-B788-3F3FE6C1FAB3}"/>
            </c:ext>
          </c:extLst>
        </c:ser>
        <c:dLbls>
          <c:showLegendKey val="0"/>
          <c:showVal val="0"/>
          <c:showCatName val="0"/>
          <c:showSerName val="0"/>
          <c:showPercent val="0"/>
          <c:showBubbleSize val="0"/>
        </c:dLbls>
        <c:gapWidth val="82"/>
        <c:axId val="59930320"/>
        <c:axId val="59920720"/>
      </c:barChart>
      <c:catAx>
        <c:axId val="59930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920720"/>
        <c:crosses val="autoZero"/>
        <c:auto val="1"/>
        <c:lblAlgn val="ctr"/>
        <c:lblOffset val="100"/>
        <c:noMultiLvlLbl val="0"/>
      </c:catAx>
      <c:valAx>
        <c:axId val="59920720"/>
        <c:scaling>
          <c:orientation val="minMax"/>
        </c:scaling>
        <c:delete val="1"/>
        <c:axPos val="b"/>
        <c:numFmt formatCode="General" sourceLinked="1"/>
        <c:majorTickMark val="none"/>
        <c:minorTickMark val="none"/>
        <c:tickLblPos val="nextTo"/>
        <c:crossAx val="59930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for fresher.xlsx]Pivot table!PivotTable18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table'!$J$3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table'!$I$4:$I$9</c:f>
              <c:strCache>
                <c:ptCount val="5"/>
                <c:pt idx="0">
                  <c:v>Anitha</c:v>
                </c:pt>
                <c:pt idx="1">
                  <c:v>Divya</c:v>
                </c:pt>
                <c:pt idx="2">
                  <c:v>Kavya</c:v>
                </c:pt>
                <c:pt idx="3">
                  <c:v>Meena</c:v>
                </c:pt>
                <c:pt idx="4">
                  <c:v>Priya</c:v>
                </c:pt>
              </c:strCache>
            </c:strRef>
          </c:cat>
          <c:val>
            <c:numRef>
              <c:f>'Pivot table'!$J$4:$J$9</c:f>
              <c:numCache>
                <c:formatCode>General</c:formatCode>
                <c:ptCount val="5"/>
                <c:pt idx="0">
                  <c:v>825000</c:v>
                </c:pt>
                <c:pt idx="1">
                  <c:v>4180000</c:v>
                </c:pt>
                <c:pt idx="2">
                  <c:v>720000</c:v>
                </c:pt>
                <c:pt idx="3">
                  <c:v>700000</c:v>
                </c:pt>
                <c:pt idx="4">
                  <c:v>2960000</c:v>
                </c:pt>
              </c:numCache>
            </c:numRef>
          </c:val>
          <c:extLst>
            <c:ext xmlns:c16="http://schemas.microsoft.com/office/drawing/2014/chart" uri="{C3380CC4-5D6E-409C-BE32-E72D297353CC}">
              <c16:uniqueId val="{00000000-7875-4BCD-B29F-B294EDC89BE0}"/>
            </c:ext>
          </c:extLst>
        </c:ser>
        <c:dLbls>
          <c:dLblPos val="outEnd"/>
          <c:showLegendKey val="0"/>
          <c:showVal val="1"/>
          <c:showCatName val="0"/>
          <c:showSerName val="0"/>
          <c:showPercent val="0"/>
          <c:showBubbleSize val="0"/>
        </c:dLbls>
        <c:gapWidth val="69"/>
        <c:overlap val="-27"/>
        <c:axId val="59925520"/>
        <c:axId val="59923600"/>
      </c:barChart>
      <c:catAx>
        <c:axId val="59925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923600"/>
        <c:crosses val="autoZero"/>
        <c:auto val="1"/>
        <c:lblAlgn val="ctr"/>
        <c:lblOffset val="100"/>
        <c:noMultiLvlLbl val="0"/>
      </c:catAx>
      <c:valAx>
        <c:axId val="59923600"/>
        <c:scaling>
          <c:orientation val="minMax"/>
        </c:scaling>
        <c:delete val="1"/>
        <c:axPos val="l"/>
        <c:numFmt formatCode="General" sourceLinked="1"/>
        <c:majorTickMark val="none"/>
        <c:minorTickMark val="none"/>
        <c:tickLblPos val="nextTo"/>
        <c:crossAx val="59925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emf"/><Relationship Id="rId5" Type="http://schemas.openxmlformats.org/officeDocument/2006/relationships/image" Target="../media/image5.png"/><Relationship Id="rId15" Type="http://schemas.openxmlformats.org/officeDocument/2006/relationships/chart" Target="../charts/chart8.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518160</xdr:colOff>
      <xdr:row>15</xdr:row>
      <xdr:rowOff>19050</xdr:rowOff>
    </xdr:from>
    <xdr:to>
      <xdr:col>5</xdr:col>
      <xdr:colOff>762000</xdr:colOff>
      <xdr:row>30</xdr:row>
      <xdr:rowOff>19050</xdr:rowOff>
    </xdr:to>
    <xdr:graphicFrame macro="">
      <xdr:nvGraphicFramePr>
        <xdr:cNvPr id="2" name="Chart 1">
          <a:extLst>
            <a:ext uri="{FF2B5EF4-FFF2-40B4-BE49-F238E27FC236}">
              <a16:creationId xmlns:a16="http://schemas.microsoft.com/office/drawing/2014/main" id="{EEB236F2-21D6-D3D9-3937-41CF744DE5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975360</xdr:colOff>
      <xdr:row>15</xdr:row>
      <xdr:rowOff>34290</xdr:rowOff>
    </xdr:from>
    <xdr:to>
      <xdr:col>11</xdr:col>
      <xdr:colOff>60960</xdr:colOff>
      <xdr:row>30</xdr:row>
      <xdr:rowOff>34290</xdr:rowOff>
    </xdr:to>
    <xdr:graphicFrame macro="">
      <xdr:nvGraphicFramePr>
        <xdr:cNvPr id="3" name="Chart 2">
          <a:extLst>
            <a:ext uri="{FF2B5EF4-FFF2-40B4-BE49-F238E27FC236}">
              <a16:creationId xmlns:a16="http://schemas.microsoft.com/office/drawing/2014/main" id="{32C25001-3DEC-F8A2-2EE4-D555C19620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533400</xdr:colOff>
      <xdr:row>15</xdr:row>
      <xdr:rowOff>125730</xdr:rowOff>
    </xdr:from>
    <xdr:to>
      <xdr:col>18</xdr:col>
      <xdr:colOff>137160</xdr:colOff>
      <xdr:row>30</xdr:row>
      <xdr:rowOff>125730</xdr:rowOff>
    </xdr:to>
    <xdr:graphicFrame macro="">
      <xdr:nvGraphicFramePr>
        <xdr:cNvPr id="4" name="Chart 3">
          <a:extLst>
            <a:ext uri="{FF2B5EF4-FFF2-40B4-BE49-F238E27FC236}">
              <a16:creationId xmlns:a16="http://schemas.microsoft.com/office/drawing/2014/main" id="{3030D852-36EF-DF07-C508-DF1C8F99CE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381000</xdr:colOff>
      <xdr:row>15</xdr:row>
      <xdr:rowOff>95250</xdr:rowOff>
    </xdr:from>
    <xdr:to>
      <xdr:col>26</xdr:col>
      <xdr:colOff>76200</xdr:colOff>
      <xdr:row>30</xdr:row>
      <xdr:rowOff>95250</xdr:rowOff>
    </xdr:to>
    <xdr:graphicFrame macro="">
      <xdr:nvGraphicFramePr>
        <xdr:cNvPr id="5" name="Chart 4">
          <a:extLst>
            <a:ext uri="{FF2B5EF4-FFF2-40B4-BE49-F238E27FC236}">
              <a16:creationId xmlns:a16="http://schemas.microsoft.com/office/drawing/2014/main" id="{56FA1F4F-185D-F50B-D86E-A1598654EE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845820</xdr:colOff>
      <xdr:row>30</xdr:row>
      <xdr:rowOff>132081</xdr:rowOff>
    </xdr:from>
    <xdr:to>
      <xdr:col>6</xdr:col>
      <xdr:colOff>287020</xdr:colOff>
      <xdr:row>39</xdr:row>
      <xdr:rowOff>1</xdr:rowOff>
    </xdr:to>
    <mc:AlternateContent xmlns:mc="http://schemas.openxmlformats.org/markup-compatibility/2006" xmlns:a14="http://schemas.microsoft.com/office/drawing/2010/main">
      <mc:Choice Requires="a14">
        <xdr:graphicFrame macro="">
          <xdr:nvGraphicFramePr>
            <xdr:cNvPr id="6" name="Sales Person">
              <a:extLst>
                <a:ext uri="{FF2B5EF4-FFF2-40B4-BE49-F238E27FC236}">
                  <a16:creationId xmlns:a16="http://schemas.microsoft.com/office/drawing/2014/main" id="{8C12B44C-882C-F4FD-E9B0-83BC465F707B}"/>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mlns="">
        <xdr:sp macro="" textlink="">
          <xdr:nvSpPr>
            <xdr:cNvPr id="0" name=""/>
            <xdr:cNvSpPr>
              <a:spLocks noTextEdit="1"/>
            </xdr:cNvSpPr>
          </xdr:nvSpPr>
          <xdr:spPr>
            <a:xfrm>
              <a:off x="4452620" y="5618481"/>
              <a:ext cx="1828800" cy="1513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513080</xdr:colOff>
      <xdr:row>33</xdr:row>
      <xdr:rowOff>165101</xdr:rowOff>
    </xdr:from>
    <xdr:to>
      <xdr:col>11</xdr:col>
      <xdr:colOff>269240</xdr:colOff>
      <xdr:row>42</xdr:row>
      <xdr:rowOff>50801</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C8756C8E-DA66-4C7D-250B-70E281590D1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651240" y="6200141"/>
              <a:ext cx="1828800" cy="1531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414020</xdr:colOff>
      <xdr:row>33</xdr:row>
      <xdr:rowOff>127001</xdr:rowOff>
    </xdr:from>
    <xdr:to>
      <xdr:col>15</xdr:col>
      <xdr:colOff>200660</xdr:colOff>
      <xdr:row>43</xdr:row>
      <xdr:rowOff>91441</xdr:rowOff>
    </xdr:to>
    <mc:AlternateContent xmlns:mc="http://schemas.openxmlformats.org/markup-compatibility/2006" xmlns:a14="http://schemas.microsoft.com/office/drawing/2010/main">
      <mc:Choice Requires="a14">
        <xdr:graphicFrame macro="">
          <xdr:nvGraphicFramePr>
            <xdr:cNvPr id="8" name="Product">
              <a:extLst>
                <a:ext uri="{FF2B5EF4-FFF2-40B4-BE49-F238E27FC236}">
                  <a16:creationId xmlns:a16="http://schemas.microsoft.com/office/drawing/2014/main" id="{54F1B8E8-FD29-A22B-8C9A-398FC8AA3B2F}"/>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1844020" y="6162041"/>
              <a:ext cx="1828800" cy="1793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0</xdr:row>
      <xdr:rowOff>60960</xdr:rowOff>
    </xdr:from>
    <xdr:to>
      <xdr:col>18</xdr:col>
      <xdr:colOff>58616</xdr:colOff>
      <xdr:row>3</xdr:row>
      <xdr:rowOff>114300</xdr:rowOff>
    </xdr:to>
    <xdr:sp macro="" textlink="">
      <xdr:nvSpPr>
        <xdr:cNvPr id="2" name="Rectangle: Rounded Corners 1">
          <a:extLst>
            <a:ext uri="{FF2B5EF4-FFF2-40B4-BE49-F238E27FC236}">
              <a16:creationId xmlns:a16="http://schemas.microsoft.com/office/drawing/2014/main" id="{B2FE774C-6DB9-FD8F-EBD4-2212FE3F10AF}"/>
            </a:ext>
          </a:extLst>
        </xdr:cNvPr>
        <xdr:cNvSpPr/>
      </xdr:nvSpPr>
      <xdr:spPr>
        <a:xfrm>
          <a:off x="1" y="60960"/>
          <a:ext cx="11061560" cy="605999"/>
        </a:xfrm>
        <a:prstGeom prst="roundRect">
          <a:avLst>
            <a:gd name="adj" fmla="val 2297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xdr:col>
      <xdr:colOff>434340</xdr:colOff>
      <xdr:row>5</xdr:row>
      <xdr:rowOff>15240</xdr:rowOff>
    </xdr:from>
    <xdr:ext cx="184731" cy="264560"/>
    <xdr:sp macro="" textlink="">
      <xdr:nvSpPr>
        <xdr:cNvPr id="8" name="TextBox 7">
          <a:extLst>
            <a:ext uri="{FF2B5EF4-FFF2-40B4-BE49-F238E27FC236}">
              <a16:creationId xmlns:a16="http://schemas.microsoft.com/office/drawing/2014/main" id="{B62467B1-EC29-7086-92B1-24F7D4C59ADB}"/>
            </a:ext>
          </a:extLst>
        </xdr:cNvPr>
        <xdr:cNvSpPr txBox="1"/>
      </xdr:nvSpPr>
      <xdr:spPr>
        <a:xfrm>
          <a:off x="1043940" y="9296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2</xdr:col>
      <xdr:colOff>236220</xdr:colOff>
      <xdr:row>5</xdr:row>
      <xdr:rowOff>106680</xdr:rowOff>
    </xdr:from>
    <xdr:ext cx="184731" cy="264560"/>
    <xdr:sp macro="" textlink="">
      <xdr:nvSpPr>
        <xdr:cNvPr id="11" name="TextBox 10">
          <a:extLst>
            <a:ext uri="{FF2B5EF4-FFF2-40B4-BE49-F238E27FC236}">
              <a16:creationId xmlns:a16="http://schemas.microsoft.com/office/drawing/2014/main" id="{26D46576-BC78-7DD7-21CD-0BB3EA6C2A16}"/>
            </a:ext>
          </a:extLst>
        </xdr:cNvPr>
        <xdr:cNvSpPr txBox="1"/>
      </xdr:nvSpPr>
      <xdr:spPr>
        <a:xfrm>
          <a:off x="1455420" y="10210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5</xdr:col>
      <xdr:colOff>266700</xdr:colOff>
      <xdr:row>6</xdr:row>
      <xdr:rowOff>83820</xdr:rowOff>
    </xdr:from>
    <xdr:ext cx="184731" cy="264560"/>
    <xdr:sp macro="" textlink="">
      <xdr:nvSpPr>
        <xdr:cNvPr id="13" name="TextBox 12">
          <a:extLst>
            <a:ext uri="{FF2B5EF4-FFF2-40B4-BE49-F238E27FC236}">
              <a16:creationId xmlns:a16="http://schemas.microsoft.com/office/drawing/2014/main" id="{FBFF49C7-5878-1533-2FE3-6A9D52DD93F6}"/>
            </a:ext>
          </a:extLst>
        </xdr:cNvPr>
        <xdr:cNvSpPr txBox="1"/>
      </xdr:nvSpPr>
      <xdr:spPr>
        <a:xfrm>
          <a:off x="3314700" y="1181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0</xdr:col>
      <xdr:colOff>7620</xdr:colOff>
      <xdr:row>4</xdr:row>
      <xdr:rowOff>7620</xdr:rowOff>
    </xdr:from>
    <xdr:to>
      <xdr:col>3</xdr:col>
      <xdr:colOff>175260</xdr:colOff>
      <xdr:row>7</xdr:row>
      <xdr:rowOff>152400</xdr:rowOff>
    </xdr:to>
    <xdr:grpSp>
      <xdr:nvGrpSpPr>
        <xdr:cNvPr id="15" name="Group 14">
          <a:extLst>
            <a:ext uri="{FF2B5EF4-FFF2-40B4-BE49-F238E27FC236}">
              <a16:creationId xmlns:a16="http://schemas.microsoft.com/office/drawing/2014/main" id="{CC126271-FB14-AEEE-9A2B-C108DFC6959B}"/>
            </a:ext>
          </a:extLst>
        </xdr:cNvPr>
        <xdr:cNvGrpSpPr/>
      </xdr:nvGrpSpPr>
      <xdr:grpSpPr>
        <a:xfrm>
          <a:off x="7620" y="747849"/>
          <a:ext cx="1996440" cy="699951"/>
          <a:chOff x="7620" y="739140"/>
          <a:chExt cx="1996440" cy="693420"/>
        </a:xfrm>
      </xdr:grpSpPr>
      <xdr:sp macro="" textlink="">
        <xdr:nvSpPr>
          <xdr:cNvPr id="4" name="Rectangle: Rounded Corners 3">
            <a:extLst>
              <a:ext uri="{FF2B5EF4-FFF2-40B4-BE49-F238E27FC236}">
                <a16:creationId xmlns:a16="http://schemas.microsoft.com/office/drawing/2014/main" id="{7867B3D2-5E26-717C-3432-1527C40705B6}"/>
              </a:ext>
            </a:extLst>
          </xdr:cNvPr>
          <xdr:cNvSpPr/>
        </xdr:nvSpPr>
        <xdr:spPr>
          <a:xfrm>
            <a:off x="22860" y="762000"/>
            <a:ext cx="1981200" cy="670560"/>
          </a:xfrm>
          <a:prstGeom prst="roundRect">
            <a:avLst>
              <a:gd name="adj" fmla="val 1294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Rectangle: Rounded Corners 5">
            <a:extLst>
              <a:ext uri="{FF2B5EF4-FFF2-40B4-BE49-F238E27FC236}">
                <a16:creationId xmlns:a16="http://schemas.microsoft.com/office/drawing/2014/main" id="{7E7E667D-4C2E-1F3C-2235-D696A8BE3C18}"/>
              </a:ext>
            </a:extLst>
          </xdr:cNvPr>
          <xdr:cNvSpPr/>
        </xdr:nvSpPr>
        <xdr:spPr>
          <a:xfrm>
            <a:off x="7620" y="746760"/>
            <a:ext cx="556260" cy="684000"/>
          </a:xfrm>
          <a:prstGeom prst="roundRect">
            <a:avLst>
              <a:gd name="adj" fmla="val 10644"/>
            </a:avLst>
          </a:prstGeom>
          <a:solidFill>
            <a:schemeClr val="accent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1"/>
              </a:solidFill>
            </a:endParaRPr>
          </a:p>
        </xdr:txBody>
      </xdr:sp>
      <xdr:sp macro="" textlink="">
        <xdr:nvSpPr>
          <xdr:cNvPr id="7" name="TextBox 6">
            <a:extLst>
              <a:ext uri="{FF2B5EF4-FFF2-40B4-BE49-F238E27FC236}">
                <a16:creationId xmlns:a16="http://schemas.microsoft.com/office/drawing/2014/main" id="{288AC1E6-C2D9-E5E9-E181-2A690FC0535F}"/>
              </a:ext>
            </a:extLst>
          </xdr:cNvPr>
          <xdr:cNvSpPr txBox="1"/>
        </xdr:nvSpPr>
        <xdr:spPr>
          <a:xfrm>
            <a:off x="746760" y="739140"/>
            <a:ext cx="91440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1"/>
                </a:solidFill>
              </a:rPr>
              <a:t>Total</a:t>
            </a:r>
            <a:r>
              <a:rPr lang="en-IN" sz="1100" b="1"/>
              <a:t> </a:t>
            </a:r>
            <a:r>
              <a:rPr lang="en-IN" sz="1100" b="1">
                <a:solidFill>
                  <a:schemeClr val="accent1"/>
                </a:solidFill>
              </a:rPr>
              <a:t>Sales</a:t>
            </a:r>
          </a:p>
        </xdr:txBody>
      </xdr:sp>
      <xdr:sp macro="" textlink="Sheet5!K2">
        <xdr:nvSpPr>
          <xdr:cNvPr id="14" name="TextBox 13">
            <a:extLst>
              <a:ext uri="{FF2B5EF4-FFF2-40B4-BE49-F238E27FC236}">
                <a16:creationId xmlns:a16="http://schemas.microsoft.com/office/drawing/2014/main" id="{EAFFB2B1-96C8-1B14-808E-F37F6133172F}"/>
              </a:ext>
            </a:extLst>
          </xdr:cNvPr>
          <xdr:cNvSpPr txBox="1"/>
        </xdr:nvSpPr>
        <xdr:spPr>
          <a:xfrm>
            <a:off x="678180" y="1005840"/>
            <a:ext cx="11811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01DAE2D-E5FC-4966-B153-B8D43C37787C}" type="TxLink">
              <a:rPr lang="en-US" sz="1100" b="1" i="0" u="none" strike="noStrike">
                <a:solidFill>
                  <a:schemeClr val="accent1"/>
                </a:solidFill>
                <a:latin typeface="Aptos Narrow"/>
              </a:rPr>
              <a:pPr/>
              <a:t>₹ 3,38,00,000.00</a:t>
            </a:fld>
            <a:endParaRPr lang="en-IN" sz="1100" b="1">
              <a:solidFill>
                <a:schemeClr val="accent1"/>
              </a:solidFill>
            </a:endParaRPr>
          </a:p>
        </xdr:txBody>
      </xdr:sp>
    </xdr:grpSp>
    <xdr:clientData/>
  </xdr:twoCellAnchor>
  <xdr:twoCellAnchor>
    <xdr:from>
      <xdr:col>10</xdr:col>
      <xdr:colOff>220980</xdr:colOff>
      <xdr:row>4</xdr:row>
      <xdr:rowOff>22860</xdr:rowOff>
    </xdr:from>
    <xdr:to>
      <xdr:col>13</xdr:col>
      <xdr:colOff>373380</xdr:colOff>
      <xdr:row>7</xdr:row>
      <xdr:rowOff>165840</xdr:rowOff>
    </xdr:to>
    <xdr:grpSp>
      <xdr:nvGrpSpPr>
        <xdr:cNvPr id="31" name="Group 30">
          <a:extLst>
            <a:ext uri="{FF2B5EF4-FFF2-40B4-BE49-F238E27FC236}">
              <a16:creationId xmlns:a16="http://schemas.microsoft.com/office/drawing/2014/main" id="{2D21BF1D-3E60-1D93-37E7-CF602449E122}"/>
            </a:ext>
          </a:extLst>
        </xdr:cNvPr>
        <xdr:cNvGrpSpPr/>
      </xdr:nvGrpSpPr>
      <xdr:grpSpPr>
        <a:xfrm>
          <a:off x="6316980" y="763089"/>
          <a:ext cx="1981200" cy="698151"/>
          <a:chOff x="-15240" y="685800"/>
          <a:chExt cx="1981200" cy="691620"/>
        </a:xfrm>
      </xdr:grpSpPr>
      <xdr:sp macro="" textlink="">
        <xdr:nvSpPr>
          <xdr:cNvPr id="32" name="Rectangle: Rounded Corners 31">
            <a:extLst>
              <a:ext uri="{FF2B5EF4-FFF2-40B4-BE49-F238E27FC236}">
                <a16:creationId xmlns:a16="http://schemas.microsoft.com/office/drawing/2014/main" id="{44D161D6-7B57-51EA-B6A4-82F0538C675F}"/>
              </a:ext>
            </a:extLst>
          </xdr:cNvPr>
          <xdr:cNvSpPr/>
        </xdr:nvSpPr>
        <xdr:spPr>
          <a:xfrm>
            <a:off x="-15240" y="685800"/>
            <a:ext cx="1981200" cy="670560"/>
          </a:xfrm>
          <a:prstGeom prst="roundRect">
            <a:avLst>
              <a:gd name="adj" fmla="val 1294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3" name="Rectangle: Rounded Corners 32">
            <a:extLst>
              <a:ext uri="{FF2B5EF4-FFF2-40B4-BE49-F238E27FC236}">
                <a16:creationId xmlns:a16="http://schemas.microsoft.com/office/drawing/2014/main" id="{7146A226-CD74-5BC9-6C27-D4FC468A36E8}"/>
              </a:ext>
            </a:extLst>
          </xdr:cNvPr>
          <xdr:cNvSpPr/>
        </xdr:nvSpPr>
        <xdr:spPr>
          <a:xfrm>
            <a:off x="7620" y="693420"/>
            <a:ext cx="556260" cy="684000"/>
          </a:xfrm>
          <a:prstGeom prst="roundRect">
            <a:avLst>
              <a:gd name="adj" fmla="val 10644"/>
            </a:avLst>
          </a:prstGeom>
          <a:solidFill>
            <a:schemeClr val="accent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1"/>
              </a:solidFill>
            </a:endParaRPr>
          </a:p>
        </xdr:txBody>
      </xdr:sp>
      <xdr:sp macro="" textlink="">
        <xdr:nvSpPr>
          <xdr:cNvPr id="34" name="TextBox 33">
            <a:extLst>
              <a:ext uri="{FF2B5EF4-FFF2-40B4-BE49-F238E27FC236}">
                <a16:creationId xmlns:a16="http://schemas.microsoft.com/office/drawing/2014/main" id="{BD5AFE36-9EB1-B5C2-2046-569DDDBC53D6}"/>
              </a:ext>
            </a:extLst>
          </xdr:cNvPr>
          <xdr:cNvSpPr txBox="1"/>
        </xdr:nvSpPr>
        <xdr:spPr>
          <a:xfrm>
            <a:off x="723900" y="754380"/>
            <a:ext cx="93726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1"/>
                </a:solidFill>
              </a:rPr>
              <a:t>    Profit</a:t>
            </a:r>
          </a:p>
        </xdr:txBody>
      </xdr:sp>
      <xdr:sp macro="" textlink="Sheet5!K6">
        <xdr:nvSpPr>
          <xdr:cNvPr id="35" name="TextBox 34">
            <a:extLst>
              <a:ext uri="{FF2B5EF4-FFF2-40B4-BE49-F238E27FC236}">
                <a16:creationId xmlns:a16="http://schemas.microsoft.com/office/drawing/2014/main" id="{AAA3EA88-B066-4E9C-83F2-3C71E3B177D0}"/>
              </a:ext>
            </a:extLst>
          </xdr:cNvPr>
          <xdr:cNvSpPr txBox="1"/>
        </xdr:nvSpPr>
        <xdr:spPr>
          <a:xfrm>
            <a:off x="678180" y="1005840"/>
            <a:ext cx="11811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82D9127-B502-4128-A6FA-9ECCF0E9A60A}" type="TxLink">
              <a:rPr lang="en-US" sz="1100" b="1" i="0" u="none" strike="noStrike">
                <a:solidFill>
                  <a:schemeClr val="accent1"/>
                </a:solidFill>
                <a:latin typeface="Aptos Narrow"/>
              </a:rPr>
              <a:pPr/>
              <a:t>₹ 87,75,000.00</a:t>
            </a:fld>
            <a:endParaRPr lang="en-IN" sz="1100" b="1">
              <a:solidFill>
                <a:schemeClr val="accent1"/>
              </a:solidFill>
            </a:endParaRPr>
          </a:p>
        </xdr:txBody>
      </xdr:sp>
    </xdr:grpSp>
    <xdr:clientData/>
  </xdr:twoCellAnchor>
  <xdr:twoCellAnchor>
    <xdr:from>
      <xdr:col>3</xdr:col>
      <xdr:colOff>259080</xdr:colOff>
      <xdr:row>4</xdr:row>
      <xdr:rowOff>7620</xdr:rowOff>
    </xdr:from>
    <xdr:to>
      <xdr:col>6</xdr:col>
      <xdr:colOff>411480</xdr:colOff>
      <xdr:row>7</xdr:row>
      <xdr:rowOff>144780</xdr:rowOff>
    </xdr:to>
    <xdr:grpSp>
      <xdr:nvGrpSpPr>
        <xdr:cNvPr id="36" name="Group 35">
          <a:extLst>
            <a:ext uri="{FF2B5EF4-FFF2-40B4-BE49-F238E27FC236}">
              <a16:creationId xmlns:a16="http://schemas.microsoft.com/office/drawing/2014/main" id="{48935A81-0FB7-62BE-89B6-2443E59F72A6}"/>
            </a:ext>
          </a:extLst>
        </xdr:cNvPr>
        <xdr:cNvGrpSpPr/>
      </xdr:nvGrpSpPr>
      <xdr:grpSpPr>
        <a:xfrm>
          <a:off x="2087880" y="747849"/>
          <a:ext cx="1981200" cy="692331"/>
          <a:chOff x="0" y="693420"/>
          <a:chExt cx="1981200" cy="685800"/>
        </a:xfrm>
      </xdr:grpSpPr>
      <xdr:sp macro="" textlink="">
        <xdr:nvSpPr>
          <xdr:cNvPr id="37" name="Rectangle: Rounded Corners 36">
            <a:extLst>
              <a:ext uri="{FF2B5EF4-FFF2-40B4-BE49-F238E27FC236}">
                <a16:creationId xmlns:a16="http://schemas.microsoft.com/office/drawing/2014/main" id="{3ED6FA16-7EEA-5051-9991-F30443C1F1C4}"/>
              </a:ext>
            </a:extLst>
          </xdr:cNvPr>
          <xdr:cNvSpPr/>
        </xdr:nvSpPr>
        <xdr:spPr>
          <a:xfrm>
            <a:off x="0" y="708660"/>
            <a:ext cx="1981200" cy="670560"/>
          </a:xfrm>
          <a:prstGeom prst="roundRect">
            <a:avLst>
              <a:gd name="adj" fmla="val 1294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8" name="Rectangle: Rounded Corners 37">
            <a:extLst>
              <a:ext uri="{FF2B5EF4-FFF2-40B4-BE49-F238E27FC236}">
                <a16:creationId xmlns:a16="http://schemas.microsoft.com/office/drawing/2014/main" id="{C6BAD622-578A-11C1-FA5C-090E0273383D}"/>
              </a:ext>
            </a:extLst>
          </xdr:cNvPr>
          <xdr:cNvSpPr/>
        </xdr:nvSpPr>
        <xdr:spPr>
          <a:xfrm>
            <a:off x="7620" y="693420"/>
            <a:ext cx="556260" cy="684000"/>
          </a:xfrm>
          <a:prstGeom prst="roundRect">
            <a:avLst>
              <a:gd name="adj" fmla="val 10644"/>
            </a:avLst>
          </a:prstGeom>
          <a:solidFill>
            <a:schemeClr val="accent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1"/>
              </a:solidFill>
            </a:endParaRPr>
          </a:p>
        </xdr:txBody>
      </xdr:sp>
      <xdr:sp macro="" textlink="">
        <xdr:nvSpPr>
          <xdr:cNvPr id="39" name="TextBox 38">
            <a:extLst>
              <a:ext uri="{FF2B5EF4-FFF2-40B4-BE49-F238E27FC236}">
                <a16:creationId xmlns:a16="http://schemas.microsoft.com/office/drawing/2014/main" id="{44B2EB1F-0BBC-AD2D-4491-BDE8E185FC31}"/>
              </a:ext>
            </a:extLst>
          </xdr:cNvPr>
          <xdr:cNvSpPr txBox="1"/>
        </xdr:nvSpPr>
        <xdr:spPr>
          <a:xfrm>
            <a:off x="525780" y="739140"/>
            <a:ext cx="141732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1"/>
                </a:solidFill>
              </a:rPr>
              <a:t>       Average Sales</a:t>
            </a:r>
          </a:p>
        </xdr:txBody>
      </xdr:sp>
      <xdr:sp macro="" textlink="Sheet5!K8">
        <xdr:nvSpPr>
          <xdr:cNvPr id="40" name="TextBox 39">
            <a:extLst>
              <a:ext uri="{FF2B5EF4-FFF2-40B4-BE49-F238E27FC236}">
                <a16:creationId xmlns:a16="http://schemas.microsoft.com/office/drawing/2014/main" id="{471D7B90-55F9-C1D4-405F-25AD2B412F36}"/>
              </a:ext>
            </a:extLst>
          </xdr:cNvPr>
          <xdr:cNvSpPr txBox="1"/>
        </xdr:nvSpPr>
        <xdr:spPr>
          <a:xfrm>
            <a:off x="678180" y="1005840"/>
            <a:ext cx="1181100" cy="25908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4C04908-24F9-4585-94E5-5F30AD246660}" type="TxLink">
              <a:rPr lang="en-US" sz="1100" b="1" i="0" u="none" strike="noStrike">
                <a:solidFill>
                  <a:schemeClr val="accent1"/>
                </a:solidFill>
                <a:latin typeface="Aptos Narrow"/>
              </a:rPr>
              <a:pPr/>
              <a:t>₹ 11,26,666.67</a:t>
            </a:fld>
            <a:endParaRPr lang="en-IN" sz="1100" b="1">
              <a:solidFill>
                <a:schemeClr val="accent1"/>
              </a:solidFill>
            </a:endParaRPr>
          </a:p>
        </xdr:txBody>
      </xdr:sp>
    </xdr:grpSp>
    <xdr:clientData/>
  </xdr:twoCellAnchor>
  <xdr:twoCellAnchor>
    <xdr:from>
      <xdr:col>6</xdr:col>
      <xdr:colOff>579120</xdr:colOff>
      <xdr:row>4</xdr:row>
      <xdr:rowOff>0</xdr:rowOff>
    </xdr:from>
    <xdr:to>
      <xdr:col>10</xdr:col>
      <xdr:colOff>121920</xdr:colOff>
      <xdr:row>7</xdr:row>
      <xdr:rowOff>137160</xdr:rowOff>
    </xdr:to>
    <xdr:grpSp>
      <xdr:nvGrpSpPr>
        <xdr:cNvPr id="41" name="Group 40">
          <a:extLst>
            <a:ext uri="{FF2B5EF4-FFF2-40B4-BE49-F238E27FC236}">
              <a16:creationId xmlns:a16="http://schemas.microsoft.com/office/drawing/2014/main" id="{1342FB02-5A86-7175-422C-547FAB0FA497}"/>
            </a:ext>
          </a:extLst>
        </xdr:cNvPr>
        <xdr:cNvGrpSpPr/>
      </xdr:nvGrpSpPr>
      <xdr:grpSpPr>
        <a:xfrm>
          <a:off x="4236720" y="740229"/>
          <a:ext cx="1981200" cy="692331"/>
          <a:chOff x="0" y="693420"/>
          <a:chExt cx="1981200" cy="685800"/>
        </a:xfrm>
      </xdr:grpSpPr>
      <xdr:sp macro="" textlink="">
        <xdr:nvSpPr>
          <xdr:cNvPr id="42" name="Rectangle: Rounded Corners 41">
            <a:extLst>
              <a:ext uri="{FF2B5EF4-FFF2-40B4-BE49-F238E27FC236}">
                <a16:creationId xmlns:a16="http://schemas.microsoft.com/office/drawing/2014/main" id="{495D06B2-00F6-766B-416A-DBBC1E89E68A}"/>
              </a:ext>
            </a:extLst>
          </xdr:cNvPr>
          <xdr:cNvSpPr/>
        </xdr:nvSpPr>
        <xdr:spPr>
          <a:xfrm>
            <a:off x="0" y="708660"/>
            <a:ext cx="1981200" cy="670560"/>
          </a:xfrm>
          <a:prstGeom prst="roundRect">
            <a:avLst>
              <a:gd name="adj" fmla="val 1294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3" name="Rectangle: Rounded Corners 42">
            <a:extLst>
              <a:ext uri="{FF2B5EF4-FFF2-40B4-BE49-F238E27FC236}">
                <a16:creationId xmlns:a16="http://schemas.microsoft.com/office/drawing/2014/main" id="{62AFF4F7-690B-BCA5-8DF0-EE5C44B6C7C3}"/>
              </a:ext>
            </a:extLst>
          </xdr:cNvPr>
          <xdr:cNvSpPr/>
        </xdr:nvSpPr>
        <xdr:spPr>
          <a:xfrm>
            <a:off x="7620" y="693420"/>
            <a:ext cx="556260" cy="684000"/>
          </a:xfrm>
          <a:prstGeom prst="roundRect">
            <a:avLst>
              <a:gd name="adj" fmla="val 10644"/>
            </a:avLst>
          </a:prstGeom>
          <a:solidFill>
            <a:schemeClr val="accent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1"/>
              </a:solidFill>
            </a:endParaRPr>
          </a:p>
        </xdr:txBody>
      </xdr:sp>
      <xdr:sp macro="" textlink="">
        <xdr:nvSpPr>
          <xdr:cNvPr id="44" name="TextBox 43">
            <a:extLst>
              <a:ext uri="{FF2B5EF4-FFF2-40B4-BE49-F238E27FC236}">
                <a16:creationId xmlns:a16="http://schemas.microsoft.com/office/drawing/2014/main" id="{706C61F0-1764-712F-1291-C8994E76E543}"/>
              </a:ext>
            </a:extLst>
          </xdr:cNvPr>
          <xdr:cNvSpPr txBox="1"/>
        </xdr:nvSpPr>
        <xdr:spPr>
          <a:xfrm>
            <a:off x="701040" y="739140"/>
            <a:ext cx="96012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1"/>
                </a:solidFill>
              </a:rPr>
              <a:t>Units</a:t>
            </a:r>
            <a:r>
              <a:rPr lang="en-IN" sz="1100" b="1"/>
              <a:t> </a:t>
            </a:r>
            <a:r>
              <a:rPr lang="en-IN" sz="1100" b="1">
                <a:solidFill>
                  <a:schemeClr val="accent1"/>
                </a:solidFill>
              </a:rPr>
              <a:t>Sold</a:t>
            </a:r>
          </a:p>
        </xdr:txBody>
      </xdr:sp>
      <xdr:sp macro="" textlink="Sheet5!K4">
        <xdr:nvSpPr>
          <xdr:cNvPr id="45" name="TextBox 44">
            <a:extLst>
              <a:ext uri="{FF2B5EF4-FFF2-40B4-BE49-F238E27FC236}">
                <a16:creationId xmlns:a16="http://schemas.microsoft.com/office/drawing/2014/main" id="{F4B2D1A4-43D8-7E80-F9A5-55F15835CDF4}"/>
              </a:ext>
            </a:extLst>
          </xdr:cNvPr>
          <xdr:cNvSpPr txBox="1"/>
        </xdr:nvSpPr>
        <xdr:spPr>
          <a:xfrm>
            <a:off x="678180" y="1005840"/>
            <a:ext cx="1181100" cy="25908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B3AC11D-B18C-46AA-A2EE-F8504154698E}" type="TxLink">
              <a:rPr lang="en-US" sz="1100" b="1" i="0" u="none" strike="noStrike">
                <a:solidFill>
                  <a:schemeClr val="accent1"/>
                </a:solidFill>
                <a:latin typeface="Aptos Narrow"/>
              </a:rPr>
              <a:pPr/>
              <a:t>₹ 2,255.00</a:t>
            </a:fld>
            <a:endParaRPr lang="en-IN" sz="1100" b="1">
              <a:solidFill>
                <a:schemeClr val="accent1"/>
              </a:solidFill>
            </a:endParaRPr>
          </a:p>
        </xdr:txBody>
      </xdr:sp>
    </xdr:grpSp>
    <xdr:clientData/>
  </xdr:twoCellAnchor>
  <xdr:twoCellAnchor editAs="oneCell">
    <xdr:from>
      <xdr:col>7</xdr:col>
      <xdr:colOff>53340</xdr:colOff>
      <xdr:row>4</xdr:row>
      <xdr:rowOff>160020</xdr:rowOff>
    </xdr:from>
    <xdr:to>
      <xdr:col>7</xdr:col>
      <xdr:colOff>420960</xdr:colOff>
      <xdr:row>6</xdr:row>
      <xdr:rowOff>161880</xdr:rowOff>
    </xdr:to>
    <xdr:pic>
      <xdr:nvPicPr>
        <xdr:cNvPr id="10" name="Graphic 9" descr="Money with solid fill">
          <a:extLst>
            <a:ext uri="{FF2B5EF4-FFF2-40B4-BE49-F238E27FC236}">
              <a16:creationId xmlns:a16="http://schemas.microsoft.com/office/drawing/2014/main" id="{52649C72-C7AB-B864-C445-18FC0AFD675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320540" y="891540"/>
          <a:ext cx="367620" cy="367620"/>
        </a:xfrm>
        <a:prstGeom prst="rect">
          <a:avLst/>
        </a:prstGeom>
      </xdr:spPr>
    </xdr:pic>
    <xdr:clientData/>
  </xdr:twoCellAnchor>
  <xdr:twoCellAnchor editAs="oneCell">
    <xdr:from>
      <xdr:col>10</xdr:col>
      <xdr:colOff>332880</xdr:colOff>
      <xdr:row>4</xdr:row>
      <xdr:rowOff>165240</xdr:rowOff>
    </xdr:from>
    <xdr:to>
      <xdr:col>11</xdr:col>
      <xdr:colOff>90900</xdr:colOff>
      <xdr:row>6</xdr:row>
      <xdr:rowOff>167100</xdr:rowOff>
    </xdr:to>
    <xdr:pic>
      <xdr:nvPicPr>
        <xdr:cNvPr id="16" name="Graphic 15" descr="Piggy Bank with solid fill">
          <a:extLst>
            <a:ext uri="{FF2B5EF4-FFF2-40B4-BE49-F238E27FC236}">
              <a16:creationId xmlns:a16="http://schemas.microsoft.com/office/drawing/2014/main" id="{EE18B55F-7453-B516-6E22-65FD5529DEE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428880" y="896760"/>
          <a:ext cx="367620" cy="367620"/>
        </a:xfrm>
        <a:prstGeom prst="rect">
          <a:avLst/>
        </a:prstGeom>
      </xdr:spPr>
    </xdr:pic>
    <xdr:clientData/>
  </xdr:twoCellAnchor>
  <xdr:twoCellAnchor editAs="oneCell">
    <xdr:from>
      <xdr:col>0</xdr:col>
      <xdr:colOff>0</xdr:colOff>
      <xdr:row>4</xdr:row>
      <xdr:rowOff>147600</xdr:rowOff>
    </xdr:from>
    <xdr:to>
      <xdr:col>0</xdr:col>
      <xdr:colOff>367620</xdr:colOff>
      <xdr:row>6</xdr:row>
      <xdr:rowOff>149460</xdr:rowOff>
    </xdr:to>
    <xdr:pic>
      <xdr:nvPicPr>
        <xdr:cNvPr id="18" name="Graphic 17" descr="Dollar with solid fill">
          <a:extLst>
            <a:ext uri="{FF2B5EF4-FFF2-40B4-BE49-F238E27FC236}">
              <a16:creationId xmlns:a16="http://schemas.microsoft.com/office/drawing/2014/main" id="{9B5E0FB0-4688-BC4C-B87F-815F9AABC08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0" y="879120"/>
          <a:ext cx="367620" cy="367620"/>
        </a:xfrm>
        <a:prstGeom prst="rect">
          <a:avLst/>
        </a:prstGeom>
      </xdr:spPr>
    </xdr:pic>
    <xdr:clientData/>
  </xdr:twoCellAnchor>
  <xdr:twoCellAnchor editAs="oneCell">
    <xdr:from>
      <xdr:col>3</xdr:col>
      <xdr:colOff>373800</xdr:colOff>
      <xdr:row>4</xdr:row>
      <xdr:rowOff>129960</xdr:rowOff>
    </xdr:from>
    <xdr:to>
      <xdr:col>4</xdr:col>
      <xdr:colOff>131820</xdr:colOff>
      <xdr:row>6</xdr:row>
      <xdr:rowOff>131820</xdr:rowOff>
    </xdr:to>
    <xdr:pic>
      <xdr:nvPicPr>
        <xdr:cNvPr id="20" name="Graphic 19" descr="Coins with solid fill">
          <a:extLst>
            <a:ext uri="{FF2B5EF4-FFF2-40B4-BE49-F238E27FC236}">
              <a16:creationId xmlns:a16="http://schemas.microsoft.com/office/drawing/2014/main" id="{11428238-C0EE-9FD1-26BF-2F844ACE9F7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202600" y="861480"/>
          <a:ext cx="367620" cy="367620"/>
        </a:xfrm>
        <a:prstGeom prst="rect">
          <a:avLst/>
        </a:prstGeom>
      </xdr:spPr>
    </xdr:pic>
    <xdr:clientData/>
  </xdr:twoCellAnchor>
  <xdr:twoCellAnchor>
    <xdr:from>
      <xdr:col>5</xdr:col>
      <xdr:colOff>502920</xdr:colOff>
      <xdr:row>0</xdr:row>
      <xdr:rowOff>76200</xdr:rowOff>
    </xdr:from>
    <xdr:to>
      <xdr:col>11</xdr:col>
      <xdr:colOff>22860</xdr:colOff>
      <xdr:row>3</xdr:row>
      <xdr:rowOff>91440</xdr:rowOff>
    </xdr:to>
    <xdr:sp macro="" textlink="">
      <xdr:nvSpPr>
        <xdr:cNvPr id="21" name="TextBox 20">
          <a:extLst>
            <a:ext uri="{FF2B5EF4-FFF2-40B4-BE49-F238E27FC236}">
              <a16:creationId xmlns:a16="http://schemas.microsoft.com/office/drawing/2014/main" id="{315DB334-022E-F37F-D865-EC19B2C18E71}"/>
            </a:ext>
          </a:extLst>
        </xdr:cNvPr>
        <xdr:cNvSpPr txBox="1"/>
      </xdr:nvSpPr>
      <xdr:spPr>
        <a:xfrm>
          <a:off x="3550920" y="76200"/>
          <a:ext cx="3177540" cy="5638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accent1"/>
              </a:solidFill>
            </a:rPr>
            <a:t>SALES DASHBORD 2026</a:t>
          </a:r>
        </a:p>
      </xdr:txBody>
    </xdr:sp>
    <xdr:clientData/>
  </xdr:twoCellAnchor>
  <xdr:twoCellAnchor editAs="oneCell">
    <xdr:from>
      <xdr:col>4</xdr:col>
      <xdr:colOff>457200</xdr:colOff>
      <xdr:row>0</xdr:row>
      <xdr:rowOff>53340</xdr:rowOff>
    </xdr:from>
    <xdr:to>
      <xdr:col>5</xdr:col>
      <xdr:colOff>531600</xdr:colOff>
      <xdr:row>4</xdr:row>
      <xdr:rowOff>5820</xdr:rowOff>
    </xdr:to>
    <xdr:pic>
      <xdr:nvPicPr>
        <xdr:cNvPr id="25" name="Graphic 24" descr="Bar graph with upward trend with solid fill">
          <a:extLst>
            <a:ext uri="{FF2B5EF4-FFF2-40B4-BE49-F238E27FC236}">
              <a16:creationId xmlns:a16="http://schemas.microsoft.com/office/drawing/2014/main" id="{BF63A4BE-63F4-F90D-9992-D62921BB1F97}"/>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895600" y="53340"/>
          <a:ext cx="684000" cy="684000"/>
        </a:xfrm>
        <a:prstGeom prst="rect">
          <a:avLst/>
        </a:prstGeom>
      </xdr:spPr>
    </xdr:pic>
    <xdr:clientData/>
  </xdr:twoCellAnchor>
  <xdr:twoCellAnchor editAs="oneCell">
    <xdr:from>
      <xdr:col>0</xdr:col>
      <xdr:colOff>0</xdr:colOff>
      <xdr:row>18</xdr:row>
      <xdr:rowOff>121920</xdr:rowOff>
    </xdr:from>
    <xdr:to>
      <xdr:col>3</xdr:col>
      <xdr:colOff>45720</xdr:colOff>
      <xdr:row>33</xdr:row>
      <xdr:rowOff>106680</xdr:rowOff>
    </xdr:to>
    <mc:AlternateContent xmlns:mc="http://schemas.openxmlformats.org/markup-compatibility/2006" xmlns:a14="http://schemas.microsoft.com/office/drawing/2010/main">
      <mc:Choice Requires="a14">
        <xdr:graphicFrame macro="">
          <xdr:nvGraphicFramePr>
            <xdr:cNvPr id="27" name="Sales Person 1">
              <a:extLst>
                <a:ext uri="{FF2B5EF4-FFF2-40B4-BE49-F238E27FC236}">
                  <a16:creationId xmlns:a16="http://schemas.microsoft.com/office/drawing/2014/main" id="{C6E4206D-271F-4963-9DB9-649F8033422D}"/>
                </a:ext>
              </a:extLst>
            </xdr:cNvPr>
            <xdr:cNvGraphicFramePr/>
          </xdr:nvGraphicFramePr>
          <xdr:xfrm>
            <a:off x="0" y="0"/>
            <a:ext cx="0" cy="0"/>
          </xdr:xfrm>
          <a:graphic>
            <a:graphicData uri="http://schemas.microsoft.com/office/drawing/2010/slicer">
              <sle:slicer xmlns:sle="http://schemas.microsoft.com/office/drawing/2010/slicer" name="Sales Person 1"/>
            </a:graphicData>
          </a:graphic>
        </xdr:graphicFrame>
      </mc:Choice>
      <mc:Fallback xmlns="">
        <xdr:sp macro="" textlink="">
          <xdr:nvSpPr>
            <xdr:cNvPr id="0" name=""/>
            <xdr:cNvSpPr>
              <a:spLocks noTextEdit="1"/>
            </xdr:cNvSpPr>
          </xdr:nvSpPr>
          <xdr:spPr>
            <a:xfrm>
              <a:off x="0" y="3437876"/>
              <a:ext cx="1879544" cy="27480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525780</xdr:colOff>
      <xdr:row>4</xdr:row>
      <xdr:rowOff>15240</xdr:rowOff>
    </xdr:from>
    <xdr:to>
      <xdr:col>18</xdr:col>
      <xdr:colOff>38100</xdr:colOff>
      <xdr:row>9</xdr:row>
      <xdr:rowOff>45720</xdr:rowOff>
    </xdr:to>
    <mc:AlternateContent xmlns:mc="http://schemas.openxmlformats.org/markup-compatibility/2006" xmlns:a14="http://schemas.microsoft.com/office/drawing/2010/main">
      <mc:Choice Requires="a14">
        <xdr:graphicFrame macro="">
          <xdr:nvGraphicFramePr>
            <xdr:cNvPr id="28" name="Region 1">
              <a:extLst>
                <a:ext uri="{FF2B5EF4-FFF2-40B4-BE49-F238E27FC236}">
                  <a16:creationId xmlns:a16="http://schemas.microsoft.com/office/drawing/2014/main" id="{0106E1CB-A448-4044-B3E3-43E3F7700C6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472351" y="752119"/>
              <a:ext cx="2568694" cy="9515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xdr:colOff>
      <xdr:row>8</xdr:row>
      <xdr:rowOff>83820</xdr:rowOff>
    </xdr:from>
    <xdr:to>
      <xdr:col>3</xdr:col>
      <xdr:colOff>30480</xdr:colOff>
      <xdr:row>18</xdr:row>
      <xdr:rowOff>48260</xdr:rowOff>
    </xdr:to>
    <mc:AlternateContent xmlns:mc="http://schemas.openxmlformats.org/markup-compatibility/2006" xmlns:a14="http://schemas.microsoft.com/office/drawing/2010/main">
      <mc:Choice Requires="a14">
        <xdr:graphicFrame macro="">
          <xdr:nvGraphicFramePr>
            <xdr:cNvPr id="29" name="Product 1">
              <a:extLst>
                <a:ext uri="{FF2B5EF4-FFF2-40B4-BE49-F238E27FC236}">
                  <a16:creationId xmlns:a16="http://schemas.microsoft.com/office/drawing/2014/main" id="{A5663D83-1B65-445F-8DD0-6724123AE4CE}"/>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30480" y="1557578"/>
              <a:ext cx="1833824" cy="18066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91440</xdr:colOff>
      <xdr:row>8</xdr:row>
      <xdr:rowOff>76200</xdr:rowOff>
    </xdr:from>
    <xdr:to>
      <xdr:col>10</xdr:col>
      <xdr:colOff>220980</xdr:colOff>
      <xdr:row>23</xdr:row>
      <xdr:rowOff>15240</xdr:rowOff>
    </xdr:to>
    <xdr:sp macro="" textlink="">
      <xdr:nvSpPr>
        <xdr:cNvPr id="30" name="Rectangle: Rounded Corners 29">
          <a:extLst>
            <a:ext uri="{FF2B5EF4-FFF2-40B4-BE49-F238E27FC236}">
              <a16:creationId xmlns:a16="http://schemas.microsoft.com/office/drawing/2014/main" id="{D8A26FF8-66AB-5FE5-68C2-27CD532A0B15}"/>
            </a:ext>
          </a:extLst>
        </xdr:cNvPr>
        <xdr:cNvSpPr/>
      </xdr:nvSpPr>
      <xdr:spPr>
        <a:xfrm>
          <a:off x="1920240" y="1539240"/>
          <a:ext cx="4396740" cy="2682240"/>
        </a:xfrm>
        <a:prstGeom prst="roundRect">
          <a:avLst>
            <a:gd name="adj" fmla="val 2013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accent1"/>
              </a:solidFill>
            </a:rPr>
            <a:t>Unit Sold</a:t>
          </a:r>
          <a:r>
            <a:rPr lang="en-IN" sz="1100" b="1" baseline="0">
              <a:solidFill>
                <a:schemeClr val="accent1"/>
              </a:solidFill>
            </a:rPr>
            <a:t> by Product</a:t>
          </a:r>
          <a:endParaRPr lang="en-IN" sz="1100" b="1">
            <a:solidFill>
              <a:schemeClr val="accent1"/>
            </a:solidFill>
          </a:endParaRPr>
        </a:p>
      </xdr:txBody>
    </xdr:sp>
    <xdr:clientData/>
  </xdr:twoCellAnchor>
  <xdr:twoCellAnchor editAs="oneCell">
    <xdr:from>
      <xdr:col>12</xdr:col>
      <xdr:colOff>0</xdr:colOff>
      <xdr:row>20</xdr:row>
      <xdr:rowOff>0</xdr:rowOff>
    </xdr:from>
    <xdr:to>
      <xdr:col>13</xdr:col>
      <xdr:colOff>7620</xdr:colOff>
      <xdr:row>21</xdr:row>
      <xdr:rowOff>7620</xdr:rowOff>
    </xdr:to>
    <xdr:pic>
      <xdr:nvPicPr>
        <xdr:cNvPr id="46" name="Picture 45">
          <a:extLst>
            <a:ext uri="{FF2B5EF4-FFF2-40B4-BE49-F238E27FC236}">
              <a16:creationId xmlns:a16="http://schemas.microsoft.com/office/drawing/2014/main" id="{90D66403-6176-1246-2FF4-269067F9BB8E}"/>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7315200" y="3657600"/>
          <a:ext cx="61722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0</xdr:colOff>
      <xdr:row>20</xdr:row>
      <xdr:rowOff>0</xdr:rowOff>
    </xdr:from>
    <xdr:to>
      <xdr:col>13</xdr:col>
      <xdr:colOff>7620</xdr:colOff>
      <xdr:row>21</xdr:row>
      <xdr:rowOff>7620</xdr:rowOff>
    </xdr:to>
    <xdr:pic>
      <xdr:nvPicPr>
        <xdr:cNvPr id="47" name="Picture 46">
          <a:extLst>
            <a:ext uri="{FF2B5EF4-FFF2-40B4-BE49-F238E27FC236}">
              <a16:creationId xmlns:a16="http://schemas.microsoft.com/office/drawing/2014/main" id="{2CDDD6C9-08D4-6479-BE79-1A484663320F}"/>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7315200" y="3657600"/>
          <a:ext cx="61722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167640</xdr:colOff>
      <xdr:row>10</xdr:row>
      <xdr:rowOff>91440</xdr:rowOff>
    </xdr:from>
    <xdr:to>
      <xdr:col>10</xdr:col>
      <xdr:colOff>99060</xdr:colOff>
      <xdr:row>21</xdr:row>
      <xdr:rowOff>144780</xdr:rowOff>
    </xdr:to>
    <xdr:graphicFrame macro="">
      <xdr:nvGraphicFramePr>
        <xdr:cNvPr id="48" name="Chart 47">
          <a:extLst>
            <a:ext uri="{FF2B5EF4-FFF2-40B4-BE49-F238E27FC236}">
              <a16:creationId xmlns:a16="http://schemas.microsoft.com/office/drawing/2014/main" id="{CE686E64-AD70-4A64-8A8E-3FDA8F823C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411480</xdr:colOff>
      <xdr:row>9</xdr:row>
      <xdr:rowOff>53340</xdr:rowOff>
    </xdr:from>
    <xdr:to>
      <xdr:col>17</xdr:col>
      <xdr:colOff>541020</xdr:colOff>
      <xdr:row>23</xdr:row>
      <xdr:rowOff>175260</xdr:rowOff>
    </xdr:to>
    <xdr:sp macro="" textlink="">
      <xdr:nvSpPr>
        <xdr:cNvPr id="49" name="Rectangle: Rounded Corners 48">
          <a:extLst>
            <a:ext uri="{FF2B5EF4-FFF2-40B4-BE49-F238E27FC236}">
              <a16:creationId xmlns:a16="http://schemas.microsoft.com/office/drawing/2014/main" id="{A6D0FB00-212D-B83D-4064-67811B22EC34}"/>
            </a:ext>
          </a:extLst>
        </xdr:cNvPr>
        <xdr:cNvSpPr/>
      </xdr:nvSpPr>
      <xdr:spPr>
        <a:xfrm>
          <a:off x="6507480" y="1699260"/>
          <a:ext cx="4396740" cy="2682240"/>
        </a:xfrm>
        <a:prstGeom prst="roundRect">
          <a:avLst>
            <a:gd name="adj" fmla="val 2013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accent1"/>
              </a:solidFill>
            </a:rPr>
            <a:t>Total</a:t>
          </a:r>
          <a:r>
            <a:rPr lang="en-IN" sz="1100" b="1" baseline="0">
              <a:solidFill>
                <a:schemeClr val="accent1"/>
              </a:solidFill>
            </a:rPr>
            <a:t> Sales bye Region</a:t>
          </a:r>
          <a:endParaRPr lang="en-IN" sz="1100" b="1">
            <a:solidFill>
              <a:schemeClr val="accent1"/>
            </a:solidFill>
          </a:endParaRPr>
        </a:p>
      </xdr:txBody>
    </xdr:sp>
    <xdr:clientData/>
  </xdr:twoCellAnchor>
  <xdr:twoCellAnchor>
    <xdr:from>
      <xdr:col>10</xdr:col>
      <xdr:colOff>434340</xdr:colOff>
      <xdr:row>24</xdr:row>
      <xdr:rowOff>175260</xdr:rowOff>
    </xdr:from>
    <xdr:to>
      <xdr:col>17</xdr:col>
      <xdr:colOff>563880</xdr:colOff>
      <xdr:row>39</xdr:row>
      <xdr:rowOff>114300</xdr:rowOff>
    </xdr:to>
    <xdr:sp macro="" textlink="">
      <xdr:nvSpPr>
        <xdr:cNvPr id="50" name="Rectangle: Rounded Corners 49">
          <a:extLst>
            <a:ext uri="{FF2B5EF4-FFF2-40B4-BE49-F238E27FC236}">
              <a16:creationId xmlns:a16="http://schemas.microsoft.com/office/drawing/2014/main" id="{E8A75934-BF3F-4B57-D818-1E6D58F5C3A0}"/>
            </a:ext>
          </a:extLst>
        </xdr:cNvPr>
        <xdr:cNvSpPr/>
      </xdr:nvSpPr>
      <xdr:spPr>
        <a:xfrm>
          <a:off x="6530340" y="4564380"/>
          <a:ext cx="4396740" cy="2682240"/>
        </a:xfrm>
        <a:prstGeom prst="roundRect">
          <a:avLst>
            <a:gd name="adj" fmla="val 2013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accent1"/>
              </a:solidFill>
            </a:rPr>
            <a:t>Total</a:t>
          </a:r>
          <a:r>
            <a:rPr lang="en-IN" sz="1100" b="1" baseline="0">
              <a:solidFill>
                <a:schemeClr val="accent1"/>
              </a:solidFill>
            </a:rPr>
            <a:t> Sales bye Sales Product</a:t>
          </a:r>
          <a:endParaRPr lang="en-IN" sz="1100" b="1">
            <a:solidFill>
              <a:schemeClr val="accent1"/>
            </a:solidFill>
          </a:endParaRPr>
        </a:p>
      </xdr:txBody>
    </xdr:sp>
    <xdr:clientData/>
  </xdr:twoCellAnchor>
  <xdr:twoCellAnchor>
    <xdr:from>
      <xdr:col>3</xdr:col>
      <xdr:colOff>76200</xdr:colOff>
      <xdr:row>25</xdr:row>
      <xdr:rowOff>22860</xdr:rowOff>
    </xdr:from>
    <xdr:to>
      <xdr:col>10</xdr:col>
      <xdr:colOff>205740</xdr:colOff>
      <xdr:row>39</xdr:row>
      <xdr:rowOff>144780</xdr:rowOff>
    </xdr:to>
    <xdr:sp macro="" textlink="">
      <xdr:nvSpPr>
        <xdr:cNvPr id="51" name="Rectangle: Rounded Corners 50">
          <a:extLst>
            <a:ext uri="{FF2B5EF4-FFF2-40B4-BE49-F238E27FC236}">
              <a16:creationId xmlns:a16="http://schemas.microsoft.com/office/drawing/2014/main" id="{536137C9-7033-A650-5E3D-6D3A627471AF}"/>
            </a:ext>
          </a:extLst>
        </xdr:cNvPr>
        <xdr:cNvSpPr/>
      </xdr:nvSpPr>
      <xdr:spPr>
        <a:xfrm>
          <a:off x="1905000" y="4594860"/>
          <a:ext cx="4396740" cy="2682240"/>
        </a:xfrm>
        <a:prstGeom prst="roundRect">
          <a:avLst>
            <a:gd name="adj" fmla="val 2013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accent1"/>
              </a:solidFill>
            </a:rPr>
            <a:t>Total</a:t>
          </a:r>
          <a:r>
            <a:rPr lang="en-IN" sz="1100" b="1" baseline="0">
              <a:solidFill>
                <a:schemeClr val="accent1"/>
              </a:solidFill>
            </a:rPr>
            <a:t> Sales bye Product</a:t>
          </a:r>
          <a:endParaRPr lang="en-IN" sz="1100" b="1">
            <a:solidFill>
              <a:schemeClr val="accent1"/>
            </a:solidFill>
          </a:endParaRPr>
        </a:p>
      </xdr:txBody>
    </xdr:sp>
    <xdr:clientData/>
  </xdr:twoCellAnchor>
  <xdr:twoCellAnchor>
    <xdr:from>
      <xdr:col>10</xdr:col>
      <xdr:colOff>594360</xdr:colOff>
      <xdr:row>11</xdr:row>
      <xdr:rowOff>68580</xdr:rowOff>
    </xdr:from>
    <xdr:to>
      <xdr:col>17</xdr:col>
      <xdr:colOff>342900</xdr:colOff>
      <xdr:row>23</xdr:row>
      <xdr:rowOff>7620</xdr:rowOff>
    </xdr:to>
    <xdr:graphicFrame macro="">
      <xdr:nvGraphicFramePr>
        <xdr:cNvPr id="52" name="Chart 51">
          <a:extLst>
            <a:ext uri="{FF2B5EF4-FFF2-40B4-BE49-F238E27FC236}">
              <a16:creationId xmlns:a16="http://schemas.microsoft.com/office/drawing/2014/main" id="{D8353C42-889F-48D6-997C-49F359C47A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220980</xdr:colOff>
      <xdr:row>27</xdr:row>
      <xdr:rowOff>38100</xdr:rowOff>
    </xdr:from>
    <xdr:to>
      <xdr:col>9</xdr:col>
      <xdr:colOff>434340</xdr:colOff>
      <xdr:row>38</xdr:row>
      <xdr:rowOff>106680</xdr:rowOff>
    </xdr:to>
    <xdr:graphicFrame macro="">
      <xdr:nvGraphicFramePr>
        <xdr:cNvPr id="53" name="Chart 52">
          <a:extLst>
            <a:ext uri="{FF2B5EF4-FFF2-40B4-BE49-F238E27FC236}">
              <a16:creationId xmlns:a16="http://schemas.microsoft.com/office/drawing/2014/main" id="{AC9FEC19-DE7F-43AA-A90C-367686D4F5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15240</xdr:colOff>
      <xdr:row>27</xdr:row>
      <xdr:rowOff>15240</xdr:rowOff>
    </xdr:from>
    <xdr:to>
      <xdr:col>17</xdr:col>
      <xdr:colOff>464820</xdr:colOff>
      <xdr:row>38</xdr:row>
      <xdr:rowOff>15240</xdr:rowOff>
    </xdr:to>
    <xdr:graphicFrame macro="">
      <xdr:nvGraphicFramePr>
        <xdr:cNvPr id="54" name="Chart 53">
          <a:extLst>
            <a:ext uri="{FF2B5EF4-FFF2-40B4-BE49-F238E27FC236}">
              <a16:creationId xmlns:a16="http://schemas.microsoft.com/office/drawing/2014/main" id="{298599D4-1737-4515-B410-FD4ECC6EF6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esh kumar G" refreshedDate="46058.054178124999" createdVersion="8" refreshedVersion="8" minRefreshableVersion="3" recordCount="30" xr:uid="{84C0237B-5AAD-46B7-8FBA-D86A0DBED268}">
  <cacheSource type="worksheet">
    <worksheetSource name="Table1"/>
  </cacheSource>
  <cacheFields count="9">
    <cacheField name="Date" numFmtId="14">
      <sharedItems containsSemiMixedTypes="0" containsNonDate="0" containsDate="1" containsString="0" minDate="2022-01-02T00:00:00" maxDate="2022-04-03T00:00:00"/>
    </cacheField>
    <cacheField name="Sales Person" numFmtId="0">
      <sharedItems count="10">
        <s v="Rahul"/>
        <s v="Priya"/>
        <s v="Arjun"/>
        <s v="Meena"/>
        <s v="Karthik"/>
        <s v="Divya"/>
        <s v="Suresh"/>
        <s v="Kavya"/>
        <s v="Manoj"/>
        <s v="Anitha"/>
      </sharedItems>
    </cacheField>
    <cacheField name="Region" numFmtId="0">
      <sharedItems count="4">
        <s v="North"/>
        <s v="South"/>
        <s v="East"/>
        <s v="West"/>
      </sharedItems>
    </cacheField>
    <cacheField name="Product" numFmtId="0">
      <sharedItems count="5">
        <s v="Laptop"/>
        <s v="Mobile"/>
        <s v="Tablet"/>
        <s v="Headphones"/>
        <s v="Smart Watch"/>
      </sharedItems>
    </cacheField>
    <cacheField name="Units Sold" numFmtId="0">
      <sharedItems containsSemiMixedTypes="0" containsString="0" containsNumber="1" containsInteger="1" minValue="30" maxValue="145"/>
    </cacheField>
    <cacheField name="Unit Price (Rs.)" numFmtId="0">
      <sharedItems containsSemiMixedTypes="0" containsString="0" containsNumber="1" containsInteger="1" minValue="3000" maxValue="55000"/>
    </cacheField>
    <cacheField name="Cost of Goods (Rs.)" numFmtId="0">
      <sharedItems containsSemiMixedTypes="0" containsString="0" containsNumber="1" containsInteger="1" minValue="2000" maxValue="42000"/>
    </cacheField>
    <cacheField name="Total Sales (Rs.)" numFmtId="0">
      <sharedItems containsSemiMixedTypes="0" containsString="0" containsNumber="1" containsInteger="1" minValue="330000" maxValue="2530000"/>
    </cacheField>
    <cacheField name="Profit" numFmtId="0">
      <sharedItems containsSemiMixedTypes="0" containsString="0" containsNumber="1" containsInteger="1" minValue="110000" maxValue="598000"/>
    </cacheField>
  </cacheFields>
  <extLst>
    <ext xmlns:x14="http://schemas.microsoft.com/office/spreadsheetml/2009/9/main" uri="{725AE2AE-9491-48be-B2B4-4EB974FC3084}">
      <x14:pivotCacheDefinition pivotCacheId="18046904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d v="2022-01-02T00:00:00"/>
    <x v="0"/>
    <x v="0"/>
    <x v="0"/>
    <n v="40"/>
    <n v="55000"/>
    <n v="42000"/>
    <n v="2200000"/>
    <n v="520000"/>
  </r>
  <r>
    <d v="2022-01-05T00:00:00"/>
    <x v="1"/>
    <x v="1"/>
    <x v="1"/>
    <n v="70"/>
    <n v="20000"/>
    <n v="15000"/>
    <n v="1400000"/>
    <n v="350000"/>
  </r>
  <r>
    <d v="2022-01-09T00:00:00"/>
    <x v="2"/>
    <x v="2"/>
    <x v="2"/>
    <n v="55"/>
    <n v="15000"/>
    <n v="11000"/>
    <n v="825000"/>
    <n v="220000"/>
  </r>
  <r>
    <d v="2022-01-12T00:00:00"/>
    <x v="3"/>
    <x v="3"/>
    <x v="3"/>
    <n v="110"/>
    <n v="3000"/>
    <n v="2000"/>
    <n v="330000"/>
    <n v="110000"/>
  </r>
  <r>
    <d v="2022-01-15T00:00:00"/>
    <x v="4"/>
    <x v="0"/>
    <x v="4"/>
    <n v="60"/>
    <n v="10000"/>
    <n v="7000"/>
    <n v="600000"/>
    <n v="180000"/>
  </r>
  <r>
    <d v="2022-01-18T00:00:00"/>
    <x v="5"/>
    <x v="1"/>
    <x v="0"/>
    <n v="30"/>
    <n v="55000"/>
    <n v="42000"/>
    <n v="1650000"/>
    <n v="390000"/>
  </r>
  <r>
    <d v="2022-01-21T00:00:00"/>
    <x v="6"/>
    <x v="2"/>
    <x v="1"/>
    <n v="85"/>
    <n v="20000"/>
    <n v="15000"/>
    <n v="1700000"/>
    <n v="425000"/>
  </r>
  <r>
    <d v="2022-01-25T00:00:00"/>
    <x v="7"/>
    <x v="3"/>
    <x v="2"/>
    <n v="45"/>
    <n v="15000"/>
    <n v="11000"/>
    <n v="675000"/>
    <n v="180000"/>
  </r>
  <r>
    <d v="2022-01-28T00:00:00"/>
    <x v="8"/>
    <x v="0"/>
    <x v="4"/>
    <n v="75"/>
    <n v="10000"/>
    <n v="7000"/>
    <n v="750000"/>
    <n v="225000"/>
  </r>
  <r>
    <d v="2022-01-31T00:00:00"/>
    <x v="9"/>
    <x v="1"/>
    <x v="3"/>
    <n v="130"/>
    <n v="3000"/>
    <n v="2000"/>
    <n v="390000"/>
    <n v="130000"/>
  </r>
  <r>
    <d v="2022-02-04T00:00:00"/>
    <x v="0"/>
    <x v="2"/>
    <x v="0"/>
    <n v="35"/>
    <n v="55000"/>
    <n v="42000"/>
    <n v="1925000"/>
    <n v="455000"/>
  </r>
  <r>
    <d v="2022-02-08T00:00:00"/>
    <x v="1"/>
    <x v="3"/>
    <x v="1"/>
    <n v="65"/>
    <n v="20000"/>
    <n v="15000"/>
    <n v="1300000"/>
    <n v="325000"/>
  </r>
  <r>
    <d v="2022-02-11T00:00:00"/>
    <x v="2"/>
    <x v="0"/>
    <x v="2"/>
    <n v="50"/>
    <n v="15000"/>
    <n v="11000"/>
    <n v="750000"/>
    <n v="200000"/>
  </r>
  <r>
    <d v="2022-02-14T00:00:00"/>
    <x v="3"/>
    <x v="1"/>
    <x v="4"/>
    <n v="70"/>
    <n v="10000"/>
    <n v="7000"/>
    <n v="700000"/>
    <n v="210000"/>
  </r>
  <r>
    <d v="2022-02-17T00:00:00"/>
    <x v="4"/>
    <x v="2"/>
    <x v="3"/>
    <n v="140"/>
    <n v="3000"/>
    <n v="2000"/>
    <n v="420000"/>
    <n v="140000"/>
  </r>
  <r>
    <d v="2022-02-20T00:00:00"/>
    <x v="5"/>
    <x v="3"/>
    <x v="0"/>
    <n v="42"/>
    <n v="55000"/>
    <n v="42000"/>
    <n v="2310000"/>
    <n v="546000"/>
  </r>
  <r>
    <d v="2022-02-23T00:00:00"/>
    <x v="6"/>
    <x v="0"/>
    <x v="1"/>
    <n v="95"/>
    <n v="20000"/>
    <n v="15000"/>
    <n v="1900000"/>
    <n v="475000"/>
  </r>
  <r>
    <d v="2022-02-26T00:00:00"/>
    <x v="7"/>
    <x v="1"/>
    <x v="2"/>
    <n v="48"/>
    <n v="15000"/>
    <n v="11000"/>
    <n v="720000"/>
    <n v="192000"/>
  </r>
  <r>
    <d v="2022-03-01T00:00:00"/>
    <x v="8"/>
    <x v="2"/>
    <x v="4"/>
    <n v="82"/>
    <n v="10000"/>
    <n v="7000"/>
    <n v="820000"/>
    <n v="246000"/>
  </r>
  <r>
    <d v="2022-03-04T00:00:00"/>
    <x v="9"/>
    <x v="3"/>
    <x v="3"/>
    <n v="125"/>
    <n v="3000"/>
    <n v="2000"/>
    <n v="375000"/>
    <n v="125000"/>
  </r>
  <r>
    <d v="2022-03-07T00:00:00"/>
    <x v="0"/>
    <x v="0"/>
    <x v="0"/>
    <n v="38"/>
    <n v="55000"/>
    <n v="42000"/>
    <n v="2090000"/>
    <n v="494000"/>
  </r>
  <r>
    <d v="2022-03-10T00:00:00"/>
    <x v="1"/>
    <x v="1"/>
    <x v="1"/>
    <n v="78"/>
    <n v="20000"/>
    <n v="15000"/>
    <n v="1560000"/>
    <n v="390000"/>
  </r>
  <r>
    <d v="2022-03-13T00:00:00"/>
    <x v="2"/>
    <x v="2"/>
    <x v="2"/>
    <n v="58"/>
    <n v="15000"/>
    <n v="11000"/>
    <n v="870000"/>
    <n v="232000"/>
  </r>
  <r>
    <d v="2022-03-16T00:00:00"/>
    <x v="3"/>
    <x v="3"/>
    <x v="4"/>
    <n v="73"/>
    <n v="10000"/>
    <n v="7000"/>
    <n v="730000"/>
    <n v="219000"/>
  </r>
  <r>
    <d v="2022-03-19T00:00:00"/>
    <x v="4"/>
    <x v="0"/>
    <x v="3"/>
    <n v="135"/>
    <n v="3000"/>
    <n v="2000"/>
    <n v="405000"/>
    <n v="135000"/>
  </r>
  <r>
    <d v="2022-03-22T00:00:00"/>
    <x v="5"/>
    <x v="1"/>
    <x v="0"/>
    <n v="46"/>
    <n v="55000"/>
    <n v="42000"/>
    <n v="2530000"/>
    <n v="598000"/>
  </r>
  <r>
    <d v="2022-03-25T00:00:00"/>
    <x v="6"/>
    <x v="2"/>
    <x v="1"/>
    <n v="88"/>
    <n v="20000"/>
    <n v="15000"/>
    <n v="1760000"/>
    <n v="440000"/>
  </r>
  <r>
    <d v="2022-03-28T00:00:00"/>
    <x v="7"/>
    <x v="3"/>
    <x v="2"/>
    <n v="52"/>
    <n v="15000"/>
    <n v="11000"/>
    <n v="780000"/>
    <n v="208000"/>
  </r>
  <r>
    <d v="2022-03-30T00:00:00"/>
    <x v="8"/>
    <x v="0"/>
    <x v="4"/>
    <n v="90"/>
    <n v="10000"/>
    <n v="7000"/>
    <n v="900000"/>
    <n v="270000"/>
  </r>
  <r>
    <d v="2022-04-02T00:00:00"/>
    <x v="9"/>
    <x v="1"/>
    <x v="3"/>
    <n v="145"/>
    <n v="3000"/>
    <n v="2000"/>
    <n v="435000"/>
    <n v="145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D061AB-006D-4EE4-A1D8-67495CF1D19C}"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5" firstHeaderRow="1" firstDataRow="1" firstDataCol="1"/>
  <pivotFields count="9">
    <pivotField numFmtId="14" showAll="0"/>
    <pivotField showAll="0">
      <items count="11">
        <item x="9"/>
        <item x="2"/>
        <item x="5"/>
        <item x="4"/>
        <item x="7"/>
        <item x="8"/>
        <item x="3"/>
        <item x="1"/>
        <item x="0"/>
        <item x="6"/>
        <item t="default"/>
      </items>
    </pivotField>
    <pivotField axis="axisRow" showAll="0">
      <items count="5">
        <item h="1" x="2"/>
        <item h="1" x="0"/>
        <item x="1"/>
        <item h="1" x="3"/>
        <item t="default"/>
      </items>
    </pivotField>
    <pivotField showAll="0">
      <items count="6">
        <item x="3"/>
        <item x="0"/>
        <item x="1"/>
        <item x="4"/>
        <item x="2"/>
        <item t="default"/>
      </items>
    </pivotField>
    <pivotField showAll="0"/>
    <pivotField showAll="0"/>
    <pivotField showAll="0"/>
    <pivotField dataField="1" showAll="0"/>
    <pivotField showAll="0"/>
  </pivotFields>
  <rowFields count="1">
    <field x="2"/>
  </rowFields>
  <rowItems count="2">
    <i>
      <x v="2"/>
    </i>
    <i t="grand">
      <x/>
    </i>
  </rowItems>
  <colItems count="1">
    <i/>
  </colItems>
  <dataFields count="1">
    <dataField name="Sum of Total Sales (Rs.)" fld="7"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3"/>
          </reference>
        </references>
      </pivotArea>
    </chartFormat>
    <chartFormat chart="0" format="4">
      <pivotArea type="data" outline="0" fieldPosition="0">
        <references count="2">
          <reference field="4294967294" count="1" selected="0">
            <x v="0"/>
          </reference>
          <reference field="2" count="1" selected="0">
            <x v="2"/>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2" count="1" selected="0">
            <x v="0"/>
          </reference>
        </references>
      </pivotArea>
    </chartFormat>
    <chartFormat chart="2" format="12">
      <pivotArea type="data" outline="0" fieldPosition="0">
        <references count="2">
          <reference field="4294967294" count="1" selected="0">
            <x v="0"/>
          </reference>
          <reference field="2" count="1" selected="0">
            <x v="1"/>
          </reference>
        </references>
      </pivotArea>
    </chartFormat>
    <chartFormat chart="2" format="13">
      <pivotArea type="data" outline="0" fieldPosition="0">
        <references count="2">
          <reference field="4294967294" count="1" selected="0">
            <x v="0"/>
          </reference>
          <reference field="2" count="1" selected="0">
            <x v="2"/>
          </reference>
        </references>
      </pivotArea>
    </chartFormat>
    <chartFormat chart="2"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EC3244-42AA-4A80-9E46-095E8A2B5D99}" name="PivotTable1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N3:O9" firstHeaderRow="1" firstDataRow="1" firstDataCol="1"/>
  <pivotFields count="9">
    <pivotField numFmtId="14" showAll="0"/>
    <pivotField showAll="0">
      <items count="11">
        <item x="9"/>
        <item x="2"/>
        <item x="5"/>
        <item x="4"/>
        <item x="7"/>
        <item x="8"/>
        <item x="3"/>
        <item x="1"/>
        <item x="0"/>
        <item x="6"/>
        <item t="default"/>
      </items>
    </pivotField>
    <pivotField showAll="0">
      <items count="5">
        <item h="1" x="2"/>
        <item h="1" x="0"/>
        <item x="1"/>
        <item h="1" x="3"/>
        <item t="default"/>
      </items>
    </pivotField>
    <pivotField axis="axisRow" showAll="0">
      <items count="6">
        <item x="3"/>
        <item x="0"/>
        <item x="1"/>
        <item x="4"/>
        <item x="2"/>
        <item t="default"/>
      </items>
    </pivotField>
    <pivotField dataField="1" showAll="0"/>
    <pivotField showAll="0"/>
    <pivotField showAll="0"/>
    <pivotField showAll="0"/>
    <pivotField showAll="0"/>
  </pivotFields>
  <rowFields count="1">
    <field x="3"/>
  </rowFields>
  <rowItems count="6">
    <i>
      <x/>
    </i>
    <i>
      <x v="1"/>
    </i>
    <i>
      <x v="2"/>
    </i>
    <i>
      <x v="3"/>
    </i>
    <i>
      <x v="4"/>
    </i>
    <i t="grand">
      <x/>
    </i>
  </rowItems>
  <colItems count="1">
    <i/>
  </colItems>
  <dataFields count="1">
    <dataField name="Sum of Units Sold" fld="4" baseField="0" baseItem="0"/>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C1C4D8-2302-4228-9621-47C40ED8719A}"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I3:J9" firstHeaderRow="1" firstDataRow="1" firstDataCol="1"/>
  <pivotFields count="9">
    <pivotField numFmtId="14" showAll="0"/>
    <pivotField axis="axisRow" showAll="0">
      <items count="11">
        <item x="9"/>
        <item x="2"/>
        <item x="5"/>
        <item x="4"/>
        <item x="7"/>
        <item x="8"/>
        <item x="3"/>
        <item x="1"/>
        <item x="0"/>
        <item x="6"/>
        <item t="default"/>
      </items>
    </pivotField>
    <pivotField showAll="0">
      <items count="5">
        <item h="1" x="2"/>
        <item h="1" x="0"/>
        <item x="1"/>
        <item h="1" x="3"/>
        <item t="default"/>
      </items>
    </pivotField>
    <pivotField showAll="0">
      <items count="6">
        <item x="3"/>
        <item x="0"/>
        <item x="1"/>
        <item x="4"/>
        <item x="2"/>
        <item t="default"/>
      </items>
    </pivotField>
    <pivotField showAll="0"/>
    <pivotField showAll="0"/>
    <pivotField showAll="0"/>
    <pivotField dataField="1" showAll="0"/>
    <pivotField showAll="0"/>
  </pivotFields>
  <rowFields count="1">
    <field x="1"/>
  </rowFields>
  <rowItems count="6">
    <i>
      <x/>
    </i>
    <i>
      <x v="2"/>
    </i>
    <i>
      <x v="4"/>
    </i>
    <i>
      <x v="6"/>
    </i>
    <i>
      <x v="7"/>
    </i>
    <i t="grand">
      <x/>
    </i>
  </rowItems>
  <colItems count="1">
    <i/>
  </colItems>
  <dataFields count="1">
    <dataField name="Sum of Total Sales (Rs.)" fld="7"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6E7194F-139F-48F2-B008-B946A4C4E3B4}"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3:F9" firstHeaderRow="1" firstDataRow="1" firstDataCol="1"/>
  <pivotFields count="9">
    <pivotField numFmtId="14" showAll="0"/>
    <pivotField showAll="0">
      <items count="11">
        <item x="9"/>
        <item x="2"/>
        <item x="5"/>
        <item x="4"/>
        <item x="7"/>
        <item x="8"/>
        <item x="3"/>
        <item x="1"/>
        <item x="0"/>
        <item x="6"/>
        <item t="default"/>
      </items>
    </pivotField>
    <pivotField showAll="0">
      <items count="5">
        <item h="1" x="2"/>
        <item h="1" x="0"/>
        <item x="1"/>
        <item h="1" x="3"/>
        <item t="default"/>
      </items>
    </pivotField>
    <pivotField axis="axisRow" showAll="0">
      <items count="6">
        <item x="3"/>
        <item x="0"/>
        <item x="1"/>
        <item x="4"/>
        <item x="2"/>
        <item t="default"/>
      </items>
    </pivotField>
    <pivotField showAll="0"/>
    <pivotField showAll="0"/>
    <pivotField showAll="0"/>
    <pivotField dataField="1" showAll="0"/>
    <pivotField showAll="0"/>
  </pivotFields>
  <rowFields count="1">
    <field x="3"/>
  </rowFields>
  <rowItems count="6">
    <i>
      <x/>
    </i>
    <i>
      <x v="1"/>
    </i>
    <i>
      <x v="2"/>
    </i>
    <i>
      <x v="3"/>
    </i>
    <i>
      <x v="4"/>
    </i>
    <i t="grand">
      <x/>
    </i>
  </rowItems>
  <colItems count="1">
    <i/>
  </colItems>
  <dataFields count="1">
    <dataField name="Sum of Total Sales (Rs.)" fld="7" baseField="0" baseItem="0"/>
  </dataFields>
  <chartFormats count="4">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3"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5331343D-54E6-4CB3-B246-E39D0BB6F094}" autoFormatId="16" applyNumberFormats="0" applyBorderFormats="0" applyFontFormats="0" applyPatternFormats="0" applyAlignmentFormats="0" applyWidthHeightFormats="0">
  <queryTableRefresh nextId="2">
    <queryTableFields count="1">
      <queryTableField id="1" name="leding zero" tableColumnId="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2AEC65DB-6A13-4619-B7DE-D8981746CD68}" autoFormatId="16" applyNumberFormats="0" applyBorderFormats="0" applyFontFormats="0" applyPatternFormats="0" applyAlignmentFormats="0" applyWidthHeightFormats="0">
  <queryTableRefresh nextId="2">
    <queryTableFields count="1">
      <queryTableField id="1" name="leding zero" tableColumnId="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040027F2-A88F-4B88-9705-FDDFBFF562A4}" sourceName="Sales Person">
  <pivotTables>
    <pivotTable tabId="10" name="PivotTable15"/>
    <pivotTable tabId="10" name="PivotTable17"/>
    <pivotTable tabId="10" name="PivotTable18"/>
    <pivotTable tabId="10" name="PivotTable19"/>
  </pivotTables>
  <data>
    <tabular pivotCacheId="1804690422">
      <items count="10">
        <i x="9" s="1"/>
        <i x="5" s="1"/>
        <i x="7" s="1"/>
        <i x="3" s="1"/>
        <i x="1" s="1"/>
        <i x="2" s="1" nd="1"/>
        <i x="4" s="1" nd="1"/>
        <i x="8" s="1" nd="1"/>
        <i x="0" s="1" nd="1"/>
        <i x="6"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AFAF885-A2F8-4E81-AC24-81FAEFB0C2C8}" sourceName="Region">
  <pivotTables>
    <pivotTable tabId="10" name="PivotTable15"/>
    <pivotTable tabId="10" name="PivotTable17"/>
    <pivotTable tabId="10" name="PivotTable18"/>
    <pivotTable tabId="10" name="PivotTable19"/>
  </pivotTables>
  <data>
    <tabular pivotCacheId="1804690422">
      <items count="4">
        <i x="2"/>
        <i x="0"/>
        <i x="1" s="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9F24EC5A-280A-4801-8BC9-B3F38C0BE000}" sourceName="Product">
  <pivotTables>
    <pivotTable tabId="10" name="PivotTable15"/>
    <pivotTable tabId="10" name="PivotTable17"/>
    <pivotTable tabId="10" name="PivotTable18"/>
    <pivotTable tabId="10" name="PivotTable19"/>
  </pivotTables>
  <data>
    <tabular pivotCacheId="1804690422">
      <items count="5">
        <i x="3" s="1"/>
        <i x="0" s="1"/>
        <i x="1"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xr10:uid="{B7DCCC9D-D23D-4F01-9320-D8B4EB2D991F}" cache="Slicer_Sales_Person" caption="Sales Person" columnCount="2" showCaption="0" rowHeight="247650"/>
  <slicer name="Region" xr10:uid="{3E85763C-1AF4-4BE7-BDE9-9C0668BC800A}" cache="Slicer_Region" caption="Region" rowHeight="247650"/>
  <slicer name="Product" xr10:uid="{C7EE55CD-5CA8-4E3A-BDD9-96D17FA22FC0}" cache="Slicer_Product" caption="Product"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1" xr10:uid="{AEDC1805-EAA6-434A-A70B-A491735CDC47}" cache="Slicer_Sales_Person" caption="Sales Person" showCaption="0" style="SlicerStyleDark1" rowHeight="247650"/>
  <slicer name="Region 1" xr10:uid="{A59CAE3E-0C8E-41F2-9054-391E5668F51B}" cache="Slicer_Region" caption="Region" columnCount="2" style="SlicerStyleDark1" rowHeight="247650"/>
  <slicer name="Product 1" xr10:uid="{EA3BFC30-3F66-4F8B-9FA2-1160F772E663}" cache="Slicer_Product" caption="Product" style="SlicerStyleDark1" rowHeight="24765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1B08A5B-32D7-4205-BB8B-91963D56589C}" name="Table3" displayName="Table3" ref="A1:I15" totalsRowShown="0" headerRowDxfId="37" dataDxfId="36">
  <autoFilter ref="A1:I15" xr:uid="{81B08A5B-32D7-4205-BB8B-91963D56589C}"/>
  <tableColumns count="9">
    <tableColumn id="1" xr3:uid="{D1B8DF75-4B95-42DF-8078-95DCC1DB02AC}" name="Day 2 Work"/>
    <tableColumn id="2" xr3:uid="{859166B9-5A33-4A72-856E-013AD12C0007}" name="Column1" dataDxfId="35"/>
    <tableColumn id="3" xr3:uid="{251C3D29-8366-4322-A027-6FD995530792}" name="Column2" dataDxfId="34"/>
    <tableColumn id="4" xr3:uid="{A6AC0F43-7C37-4E31-BC0A-8BEF62CB2710}" name="Column3" dataDxfId="33"/>
    <tableColumn id="5" xr3:uid="{F3F96FF0-9F25-4F19-876D-7F75559DF29B}" name="Column4" dataDxfId="32"/>
    <tableColumn id="6" xr3:uid="{CE3BB56F-5A67-40F5-905A-26F6718F648E}" name="Column5" dataDxfId="31"/>
    <tableColumn id="7" xr3:uid="{7A1CAB62-F779-4B14-8345-A8727A8842B3}" name="Column6" dataDxfId="30"/>
    <tableColumn id="8" xr3:uid="{D81BEE78-A9EE-4785-9088-1187C261AAC7}" name="Column7" dataDxfId="29"/>
    <tableColumn id="9" xr3:uid="{C3DCFB8E-0B18-4A93-BE3A-59296BEAB328}" name="Column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22E3C73-59C4-4074-BC64-D7C67C574E5F}" name="Table8" displayName="Table8" ref="A1:H16" totalsRowCount="1" headerRowDxfId="28" dataDxfId="27">
  <autoFilter ref="A1:H15" xr:uid="{522E3C73-59C4-4074-BC64-D7C67C574E5F}"/>
  <sortState xmlns:xlrd2="http://schemas.microsoft.com/office/spreadsheetml/2017/richdata2" ref="A4:H9">
    <sortCondition ref="A1:A15"/>
  </sortState>
  <tableColumns count="8">
    <tableColumn id="1" xr3:uid="{9FAA079A-26DB-429D-9B5F-F6A981615A45}" name="Name" dataDxfId="26" totalsRowDxfId="25"/>
    <tableColumn id="2" xr3:uid="{BCBFFF00-996B-47B1-AADF-20790311BD04}" name="Roll num" dataDxfId="24" totalsRowDxfId="23"/>
    <tableColumn id="3" xr3:uid="{D771F9C9-6CF7-45AB-AB05-D3BB184CFE60}" name="class" dataDxfId="22" totalsRowDxfId="21"/>
    <tableColumn id="4" xr3:uid="{434EF9F3-AAEE-471A-A835-7BF695C5411A}" name="Sub1 Mark" totalsRowFunction="custom" dataDxfId="20" totalsRowDxfId="19">
      <totalsRowFormula>SUBTOTAL(109,D15)/SUBTOTAL(109,$D$15:$H$15)</totalsRowFormula>
    </tableColumn>
    <tableColumn id="5" xr3:uid="{43B26498-9304-433F-AC0E-C38C8282B940}" name="Sub2 Mark" totalsRowFunction="custom" dataDxfId="18" totalsRowDxfId="17">
      <totalsRowFormula>SUBTOTAL(109,E15)/SUBTOTAL(109,$D$15:$H$15)</totalsRowFormula>
    </tableColumn>
    <tableColumn id="6" xr3:uid="{11DA0040-0BDC-4FF3-983A-B1119469843F}" name="Sub3 Mark" totalsRowFunction="custom" dataDxfId="16" totalsRowDxfId="15">
      <totalsRowFormula>SUBTOTAL(109,F15)/SUBTOTAL(109,$D$15:$H$15)</totalsRowFormula>
    </tableColumn>
    <tableColumn id="7" xr3:uid="{500675C8-2886-4484-B1BC-FCDC4058F3C6}" name="Sub4 Mark" totalsRowFunction="custom" dataDxfId="14" totalsRowDxfId="13">
      <totalsRowFormula>SUBTOTAL(109,G15)/SUBTOTAL(109,$D$15:$H$15)</totalsRowFormula>
    </tableColumn>
    <tableColumn id="8" xr3:uid="{970DB823-E402-4A96-925C-194CD5EBF8DF}" name="Sub5 Mark" totalsRowFunction="custom" dataDxfId="12" totalsRowDxfId="11">
      <totalsRowFormula>SUBTOTAL(109,H15)/SUBTOTAL(109,$D$15:$H$15)</totalsRowFormula>
    </tableColumn>
  </tableColumns>
  <tableStyleInfo name="TableStyleLight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D9AB516-C2F6-4685-9737-92E2030992A2}" name="Table9_1" displayName="Table9_1" ref="A1:A9" tableType="queryTable" totalsRowShown="0">
  <autoFilter ref="A1:A9" xr:uid="{9D9AB516-C2F6-4685-9737-92E2030992A2}"/>
  <tableColumns count="1">
    <tableColumn id="1" xr3:uid="{127C8C38-03EB-43C3-B4B3-30ED6B568D86}" uniqueName="1" name="leding zero" queryTableFieldId="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84684D8-8E31-45DE-BC7D-9259A4C41CFA}" name="Table9" displayName="Table9" ref="G1:G9" totalsRowShown="0">
  <autoFilter ref="G1:G9" xr:uid="{284684D8-8E31-45DE-BC7D-9259A4C41CFA}"/>
  <tableColumns count="1">
    <tableColumn id="1" xr3:uid="{3EA011F3-F738-4922-A27A-FFCDE9FE42FE}" name="POWER Query"/>
  </tableColumns>
  <tableStyleInfo name="TableStyleLight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3070875-8731-4CCA-8476-9EF184C7EFE1}" name="Table9_112" displayName="Table9_112" ref="H1:H9" tableType="queryTable" totalsRowShown="0">
  <autoFilter ref="H1:H9" xr:uid="{23070875-8731-4CCA-8476-9EF184C7EFE1}"/>
  <tableColumns count="1">
    <tableColumn id="1" xr3:uid="{E94ECB4A-3244-4714-830C-DB5700F64C2B}" uniqueName="1" name="leding zero" queryTableFieldId="1"/>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DEB6D0-7093-416E-B1F1-F0B66B46301A}" name="Table1" displayName="Table1" ref="A1:I31" totalsRowShown="0" headerRowDxfId="10" dataDxfId="9">
  <autoFilter ref="A1:I31" xr:uid="{B2DEB6D0-7093-416E-B1F1-F0B66B46301A}"/>
  <tableColumns count="9">
    <tableColumn id="1" xr3:uid="{DA81DD9C-AF4C-4F2A-9A13-F13488CCD6A2}" name="Date" dataDxfId="8"/>
    <tableColumn id="2" xr3:uid="{A11B1E68-E328-41D5-849A-A8A437534C27}" name="Sales Person" dataDxfId="7"/>
    <tableColumn id="3" xr3:uid="{7A45A56A-95BE-46E5-A941-8B2CB71FF2D8}" name="Region" dataDxfId="6"/>
    <tableColumn id="4" xr3:uid="{A087EE25-06EC-45D2-B9A1-CEC6953E37FD}" name="Product" dataDxfId="5"/>
    <tableColumn id="5" xr3:uid="{0DACFBAA-730F-4ABC-B57F-CB6C7D83747C}" name="Units Sold" dataDxfId="4"/>
    <tableColumn id="6" xr3:uid="{A865FF3C-14B2-4F62-B6BB-D7E64FA492B8}" name="Unit Price (Rs.)" dataDxfId="3"/>
    <tableColumn id="7" xr3:uid="{36E5BE23-9BC0-459E-A26F-99262DAFBC39}" name="Cost of Goods (Rs.)" dataDxfId="2"/>
    <tableColumn id="8" xr3:uid="{7A4AF469-C153-4A5F-848A-4F020FE78A66}" name="Total Sales (Rs.)" dataDxfId="1"/>
    <tableColumn id="9" xr3:uid="{B60549EE-0657-4674-B9DC-ECD84E353264}" name="Profit" dataDxfId="0">
      <calculatedColumnFormula>H2-(G2*E2)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EBCA4-34A5-43AC-9632-6581F7B87EB1}">
  <dimension ref="A1:I16"/>
  <sheetViews>
    <sheetView topLeftCell="A7" zoomScale="145" zoomScaleNormal="145" workbookViewId="0">
      <selection activeCell="B19" sqref="B19"/>
    </sheetView>
  </sheetViews>
  <sheetFormatPr defaultRowHeight="14.4" x14ac:dyDescent="0.3"/>
  <cols>
    <col min="1" max="1" width="11.5546875" customWidth="1"/>
    <col min="2" max="9" width="9.77734375" customWidth="1"/>
  </cols>
  <sheetData>
    <row r="1" spans="1:9" x14ac:dyDescent="0.3">
      <c r="A1" s="1" t="s">
        <v>0</v>
      </c>
      <c r="B1" s="1" t="s">
        <v>4</v>
      </c>
      <c r="C1" s="1" t="s">
        <v>5</v>
      </c>
      <c r="D1" s="1" t="s">
        <v>6</v>
      </c>
      <c r="E1" s="1" t="s">
        <v>7</v>
      </c>
      <c r="F1" s="1" t="s">
        <v>8</v>
      </c>
      <c r="G1" s="1" t="s">
        <v>9</v>
      </c>
      <c r="H1" s="1" t="s">
        <v>10</v>
      </c>
      <c r="I1" s="1" t="s">
        <v>11</v>
      </c>
    </row>
    <row r="2" spans="1:9" x14ac:dyDescent="0.3">
      <c r="A2" t="s">
        <v>1</v>
      </c>
      <c r="B2" t="s">
        <v>3</v>
      </c>
      <c r="C2" t="s">
        <v>2</v>
      </c>
      <c r="D2" t="s">
        <v>27</v>
      </c>
      <c r="E2" t="s">
        <v>28</v>
      </c>
      <c r="F2" t="s">
        <v>29</v>
      </c>
      <c r="G2" t="s">
        <v>30</v>
      </c>
      <c r="H2" t="s">
        <v>31</v>
      </c>
    </row>
    <row r="3" spans="1:9" x14ac:dyDescent="0.3">
      <c r="A3" t="s">
        <v>12</v>
      </c>
      <c r="B3" s="1">
        <v>1</v>
      </c>
      <c r="C3" s="1" t="s">
        <v>25</v>
      </c>
      <c r="D3" s="1">
        <v>50</v>
      </c>
      <c r="E3" s="1">
        <v>56</v>
      </c>
      <c r="F3" s="1">
        <v>74</v>
      </c>
      <c r="G3" s="1">
        <v>30</v>
      </c>
      <c r="H3" s="1">
        <v>98</v>
      </c>
    </row>
    <row r="4" spans="1:9" x14ac:dyDescent="0.3">
      <c r="A4" t="s">
        <v>13</v>
      </c>
      <c r="B4" s="1">
        <v>2</v>
      </c>
      <c r="C4" s="1" t="s">
        <v>26</v>
      </c>
      <c r="D4" s="1">
        <v>80</v>
      </c>
      <c r="E4" s="1">
        <v>78</v>
      </c>
      <c r="F4" s="1">
        <v>80</v>
      </c>
      <c r="G4" s="1">
        <v>67</v>
      </c>
      <c r="H4" s="1">
        <v>99</v>
      </c>
    </row>
    <row r="5" spans="1:9" x14ac:dyDescent="0.3">
      <c r="A5" t="s">
        <v>14</v>
      </c>
      <c r="B5" s="1">
        <v>3</v>
      </c>
      <c r="C5" s="1" t="s">
        <v>26</v>
      </c>
      <c r="D5" s="1">
        <v>34</v>
      </c>
      <c r="E5" s="1">
        <v>38</v>
      </c>
      <c r="F5" s="1">
        <v>74</v>
      </c>
      <c r="G5" s="1">
        <v>44</v>
      </c>
      <c r="H5" s="1">
        <v>52</v>
      </c>
    </row>
    <row r="6" spans="1:9" x14ac:dyDescent="0.3">
      <c r="A6" t="s">
        <v>15</v>
      </c>
      <c r="B6" s="1">
        <v>4</v>
      </c>
      <c r="C6" s="1" t="s">
        <v>26</v>
      </c>
      <c r="D6" s="1">
        <v>77</v>
      </c>
      <c r="E6" s="1">
        <v>78</v>
      </c>
      <c r="F6" s="1">
        <v>88</v>
      </c>
      <c r="G6" s="1">
        <v>18</v>
      </c>
      <c r="H6" s="1">
        <v>86</v>
      </c>
    </row>
    <row r="7" spans="1:9" x14ac:dyDescent="0.3">
      <c r="A7" t="s">
        <v>16</v>
      </c>
      <c r="B7" s="1">
        <v>5</v>
      </c>
      <c r="C7" s="1" t="s">
        <v>25</v>
      </c>
      <c r="D7" s="1">
        <v>45</v>
      </c>
      <c r="E7" s="1">
        <v>48</v>
      </c>
      <c r="F7" s="1">
        <v>63</v>
      </c>
      <c r="G7" s="1">
        <v>86</v>
      </c>
      <c r="H7" s="1">
        <v>29</v>
      </c>
    </row>
    <row r="8" spans="1:9" x14ac:dyDescent="0.3">
      <c r="A8" t="s">
        <v>17</v>
      </c>
      <c r="B8" s="1">
        <v>6</v>
      </c>
      <c r="C8" s="1" t="s">
        <v>26</v>
      </c>
      <c r="D8" s="1">
        <v>85</v>
      </c>
      <c r="E8" s="1">
        <v>93</v>
      </c>
      <c r="F8" s="1">
        <v>87</v>
      </c>
      <c r="G8" s="1">
        <v>66</v>
      </c>
      <c r="H8" s="1">
        <v>75</v>
      </c>
    </row>
    <row r="9" spans="1:9" x14ac:dyDescent="0.3">
      <c r="A9" t="s">
        <v>18</v>
      </c>
      <c r="B9" s="1">
        <v>7</v>
      </c>
      <c r="C9" s="1" t="s">
        <v>25</v>
      </c>
      <c r="D9" s="1">
        <v>56</v>
      </c>
      <c r="E9" s="1">
        <v>97</v>
      </c>
      <c r="F9" s="1">
        <v>67</v>
      </c>
      <c r="G9" s="1">
        <v>20</v>
      </c>
      <c r="H9" s="1">
        <v>55</v>
      </c>
    </row>
    <row r="10" spans="1:9" x14ac:dyDescent="0.3">
      <c r="A10" t="s">
        <v>19</v>
      </c>
      <c r="B10" s="1">
        <v>8</v>
      </c>
      <c r="C10" s="1" t="s">
        <v>26</v>
      </c>
      <c r="D10" s="1">
        <v>54</v>
      </c>
      <c r="E10" s="1">
        <v>63</v>
      </c>
      <c r="F10" s="1">
        <v>83</v>
      </c>
      <c r="G10" s="1">
        <v>36</v>
      </c>
      <c r="H10" s="1">
        <v>44</v>
      </c>
    </row>
    <row r="11" spans="1:9" x14ac:dyDescent="0.3">
      <c r="A11" t="s">
        <v>20</v>
      </c>
      <c r="B11" s="1">
        <v>9</v>
      </c>
      <c r="C11" s="1" t="s">
        <v>25</v>
      </c>
      <c r="D11" s="1">
        <v>55</v>
      </c>
      <c r="E11" s="1">
        <v>67</v>
      </c>
      <c r="F11" s="1">
        <v>60</v>
      </c>
      <c r="G11" s="1">
        <v>52</v>
      </c>
      <c r="H11" s="1">
        <v>68</v>
      </c>
    </row>
    <row r="12" spans="1:9" x14ac:dyDescent="0.3">
      <c r="A12" t="s">
        <v>21</v>
      </c>
      <c r="B12" s="1">
        <v>10</v>
      </c>
      <c r="C12" s="1" t="s">
        <v>25</v>
      </c>
      <c r="D12" s="1">
        <v>90</v>
      </c>
      <c r="E12" s="1">
        <v>46</v>
      </c>
      <c r="F12" s="1">
        <v>65</v>
      </c>
      <c r="G12" s="1">
        <v>21</v>
      </c>
      <c r="H12" s="1">
        <v>33</v>
      </c>
    </row>
    <row r="13" spans="1:9" x14ac:dyDescent="0.3">
      <c r="A13" t="s">
        <v>22</v>
      </c>
      <c r="B13" s="1">
        <v>11</v>
      </c>
      <c r="C13" s="1" t="s">
        <v>25</v>
      </c>
      <c r="D13" s="1">
        <v>92</v>
      </c>
      <c r="E13" s="1">
        <v>65</v>
      </c>
      <c r="F13" s="1">
        <v>78</v>
      </c>
      <c r="G13" s="1">
        <v>32</v>
      </c>
      <c r="H13" s="1">
        <v>58</v>
      </c>
    </row>
    <row r="14" spans="1:9" x14ac:dyDescent="0.3">
      <c r="A14" t="s">
        <v>23</v>
      </c>
      <c r="B14" s="1">
        <v>12</v>
      </c>
      <c r="C14" s="1" t="s">
        <v>25</v>
      </c>
      <c r="D14" s="1">
        <v>44</v>
      </c>
      <c r="E14" s="1">
        <v>49</v>
      </c>
      <c r="F14" s="1">
        <v>56</v>
      </c>
      <c r="G14" s="1">
        <v>22</v>
      </c>
      <c r="H14" s="1">
        <v>84</v>
      </c>
    </row>
    <row r="15" spans="1:9" x14ac:dyDescent="0.3">
      <c r="A15" t="s">
        <v>24</v>
      </c>
      <c r="B15" s="1">
        <v>13</v>
      </c>
      <c r="C15" s="1" t="s">
        <v>26</v>
      </c>
      <c r="D15" s="1">
        <v>99</v>
      </c>
      <c r="E15" s="1">
        <v>66</v>
      </c>
      <c r="F15" s="1">
        <v>87</v>
      </c>
      <c r="G15" s="1">
        <v>39</v>
      </c>
      <c r="H15" s="1">
        <v>95</v>
      </c>
    </row>
    <row r="16" spans="1:9" x14ac:dyDescent="0.3">
      <c r="A16" t="s">
        <v>32</v>
      </c>
      <c r="B16" s="1">
        <v>0</v>
      </c>
      <c r="C16" s="1" t="s">
        <v>33</v>
      </c>
      <c r="D16" s="1">
        <f>SUM(D3:D15)</f>
        <v>861</v>
      </c>
      <c r="E16" s="1">
        <f>SUM(E3:E15)</f>
        <v>844</v>
      </c>
      <c r="F16" s="1">
        <f>SUM(F3:F15)</f>
        <v>962</v>
      </c>
      <c r="G16" s="1">
        <f>SUM(G3:G15)</f>
        <v>533</v>
      </c>
      <c r="H16" s="1">
        <f>SUM(H3:H15)</f>
        <v>876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32A79-0FB1-4D3F-A57C-CE79DC790742}">
  <dimension ref="A1:H16"/>
  <sheetViews>
    <sheetView zoomScale="145" zoomScaleNormal="145" workbookViewId="0">
      <selection activeCell="H20" sqref="H20"/>
    </sheetView>
  </sheetViews>
  <sheetFormatPr defaultRowHeight="14.4" x14ac:dyDescent="0.3"/>
  <cols>
    <col min="1" max="1" width="9.5546875" bestFit="1" customWidth="1"/>
    <col min="2" max="2" width="11.5546875" customWidth="1"/>
    <col min="3" max="3" width="7.88671875" customWidth="1"/>
    <col min="4" max="8" width="13" customWidth="1"/>
  </cols>
  <sheetData>
    <row r="1" spans="1:8" x14ac:dyDescent="0.3">
      <c r="A1" s="4" t="s">
        <v>1</v>
      </c>
      <c r="B1" s="4" t="s">
        <v>3</v>
      </c>
      <c r="C1" s="4" t="s">
        <v>2</v>
      </c>
      <c r="D1" s="4" t="s">
        <v>27</v>
      </c>
      <c r="E1" s="4" t="s">
        <v>28</v>
      </c>
      <c r="F1" s="4" t="s">
        <v>29</v>
      </c>
      <c r="G1" s="4" t="s">
        <v>30</v>
      </c>
      <c r="H1" s="4" t="s">
        <v>31</v>
      </c>
    </row>
    <row r="2" spans="1:8" x14ac:dyDescent="0.3">
      <c r="A2" s="2" t="s">
        <v>12</v>
      </c>
      <c r="B2" s="3">
        <v>1</v>
      </c>
      <c r="C2" s="3" t="s">
        <v>25</v>
      </c>
      <c r="D2" s="3">
        <v>50</v>
      </c>
      <c r="E2" s="3">
        <v>56</v>
      </c>
      <c r="F2" s="3">
        <v>74</v>
      </c>
      <c r="G2" s="3">
        <v>30</v>
      </c>
      <c r="H2" s="3">
        <v>98</v>
      </c>
    </row>
    <row r="3" spans="1:8" x14ac:dyDescent="0.3">
      <c r="A3" s="2" t="s">
        <v>13</v>
      </c>
      <c r="B3" s="3">
        <v>2</v>
      </c>
      <c r="C3" s="3" t="s">
        <v>26</v>
      </c>
      <c r="D3" s="3">
        <v>80</v>
      </c>
      <c r="E3" s="3">
        <v>78</v>
      </c>
      <c r="F3" s="3">
        <v>80</v>
      </c>
      <c r="G3" s="3">
        <v>67</v>
      </c>
      <c r="H3" s="3">
        <v>99</v>
      </c>
    </row>
    <row r="4" spans="1:8" x14ac:dyDescent="0.3">
      <c r="A4" s="2" t="s">
        <v>19</v>
      </c>
      <c r="B4" s="3">
        <v>8</v>
      </c>
      <c r="C4" s="3" t="s">
        <v>26</v>
      </c>
      <c r="D4" s="3">
        <v>54</v>
      </c>
      <c r="E4" s="3">
        <v>63</v>
      </c>
      <c r="F4" s="3">
        <v>83</v>
      </c>
      <c r="G4" s="3">
        <v>36</v>
      </c>
      <c r="H4" s="3">
        <v>44</v>
      </c>
    </row>
    <row r="5" spans="1:8" x14ac:dyDescent="0.3">
      <c r="A5" s="2" t="s">
        <v>15</v>
      </c>
      <c r="B5" s="3">
        <v>4</v>
      </c>
      <c r="C5" s="3" t="s">
        <v>26</v>
      </c>
      <c r="D5" s="3">
        <v>77</v>
      </c>
      <c r="E5" s="3">
        <v>78</v>
      </c>
      <c r="F5" s="3">
        <v>88</v>
      </c>
      <c r="G5" s="3">
        <v>18</v>
      </c>
      <c r="H5" s="3">
        <v>86</v>
      </c>
    </row>
    <row r="6" spans="1:8" x14ac:dyDescent="0.3">
      <c r="A6" s="2" t="s">
        <v>18</v>
      </c>
      <c r="B6" s="3">
        <v>7</v>
      </c>
      <c r="C6" s="3" t="s">
        <v>25</v>
      </c>
      <c r="D6" s="3">
        <v>56</v>
      </c>
      <c r="E6" s="3">
        <v>97</v>
      </c>
      <c r="F6" s="3">
        <v>67</v>
      </c>
      <c r="G6" s="3">
        <v>20</v>
      </c>
      <c r="H6" s="3">
        <v>55</v>
      </c>
    </row>
    <row r="7" spans="1:8" x14ac:dyDescent="0.3">
      <c r="A7" s="2" t="s">
        <v>17</v>
      </c>
      <c r="B7" s="3">
        <v>6</v>
      </c>
      <c r="C7" s="3" t="s">
        <v>26</v>
      </c>
      <c r="D7" s="3">
        <v>85</v>
      </c>
      <c r="E7" s="3">
        <v>93</v>
      </c>
      <c r="F7" s="3">
        <v>87</v>
      </c>
      <c r="G7" s="3">
        <v>66</v>
      </c>
      <c r="H7" s="3">
        <v>75</v>
      </c>
    </row>
    <row r="8" spans="1:8" x14ac:dyDescent="0.3">
      <c r="A8" s="2" t="s">
        <v>16</v>
      </c>
      <c r="B8" s="3">
        <v>5</v>
      </c>
      <c r="C8" s="3" t="s">
        <v>25</v>
      </c>
      <c r="D8" s="3">
        <v>45</v>
      </c>
      <c r="E8" s="3">
        <v>48</v>
      </c>
      <c r="F8" s="3">
        <v>63</v>
      </c>
      <c r="G8" s="3">
        <v>86</v>
      </c>
      <c r="H8" s="3">
        <v>29</v>
      </c>
    </row>
    <row r="9" spans="1:8" x14ac:dyDescent="0.3">
      <c r="A9" s="2" t="s">
        <v>14</v>
      </c>
      <c r="B9" s="3">
        <v>3</v>
      </c>
      <c r="C9" s="3" t="s">
        <v>26</v>
      </c>
      <c r="D9" s="3">
        <v>34</v>
      </c>
      <c r="E9" s="3">
        <v>38</v>
      </c>
      <c r="F9" s="3">
        <v>74</v>
      </c>
      <c r="G9" s="3">
        <v>44</v>
      </c>
      <c r="H9" s="3">
        <v>52</v>
      </c>
    </row>
    <row r="10" spans="1:8" x14ac:dyDescent="0.3">
      <c r="A10" s="2" t="s">
        <v>20</v>
      </c>
      <c r="B10" s="3">
        <v>9</v>
      </c>
      <c r="C10" s="3" t="s">
        <v>25</v>
      </c>
      <c r="D10" s="3">
        <v>55</v>
      </c>
      <c r="E10" s="3">
        <v>67</v>
      </c>
      <c r="F10" s="3">
        <v>60</v>
      </c>
      <c r="G10" s="3">
        <v>52</v>
      </c>
      <c r="H10" s="3">
        <v>68</v>
      </c>
    </row>
    <row r="11" spans="1:8" x14ac:dyDescent="0.3">
      <c r="A11" s="2" t="s">
        <v>21</v>
      </c>
      <c r="B11" s="3">
        <v>10</v>
      </c>
      <c r="C11" s="3" t="s">
        <v>25</v>
      </c>
      <c r="D11" s="3">
        <v>90</v>
      </c>
      <c r="E11" s="3">
        <v>46</v>
      </c>
      <c r="F11" s="3">
        <v>65</v>
      </c>
      <c r="G11" s="3">
        <v>21</v>
      </c>
      <c r="H11" s="3">
        <v>33</v>
      </c>
    </row>
    <row r="12" spans="1:8" x14ac:dyDescent="0.3">
      <c r="A12" s="2" t="s">
        <v>22</v>
      </c>
      <c r="B12" s="3">
        <v>11</v>
      </c>
      <c r="C12" s="3" t="s">
        <v>25</v>
      </c>
      <c r="D12" s="3">
        <v>92</v>
      </c>
      <c r="E12" s="3">
        <v>65</v>
      </c>
      <c r="F12" s="3">
        <v>78</v>
      </c>
      <c r="G12" s="3">
        <v>32</v>
      </c>
      <c r="H12" s="3">
        <v>58</v>
      </c>
    </row>
    <row r="13" spans="1:8" x14ac:dyDescent="0.3">
      <c r="A13" s="2" t="s">
        <v>23</v>
      </c>
      <c r="B13" s="3">
        <v>12</v>
      </c>
      <c r="C13" s="3" t="s">
        <v>25</v>
      </c>
      <c r="D13" s="3">
        <v>44</v>
      </c>
      <c r="E13" s="3">
        <v>49</v>
      </c>
      <c r="F13" s="3">
        <v>56</v>
      </c>
      <c r="G13" s="3">
        <v>22</v>
      </c>
      <c r="H13" s="3">
        <v>84</v>
      </c>
    </row>
    <row r="14" spans="1:8" x14ac:dyDescent="0.3">
      <c r="A14" s="2" t="s">
        <v>24</v>
      </c>
      <c r="B14" s="3">
        <v>13</v>
      </c>
      <c r="C14" s="3" t="s">
        <v>26</v>
      </c>
      <c r="D14" s="3">
        <v>99</v>
      </c>
      <c r="E14" s="3">
        <v>66</v>
      </c>
      <c r="F14" s="3">
        <v>87</v>
      </c>
      <c r="G14" s="3">
        <v>39</v>
      </c>
      <c r="H14" s="3">
        <v>95</v>
      </c>
    </row>
    <row r="15" spans="1:8" x14ac:dyDescent="0.3">
      <c r="A15" s="2" t="s">
        <v>32</v>
      </c>
      <c r="B15" s="3">
        <v>0</v>
      </c>
      <c r="C15" s="3" t="s">
        <v>33</v>
      </c>
      <c r="D15" s="3">
        <f>SUM(D2:D14)</f>
        <v>861</v>
      </c>
      <c r="E15" s="3">
        <f>SUM(E2:E14)</f>
        <v>844</v>
      </c>
      <c r="F15" s="3">
        <f>SUM(F2:F14)</f>
        <v>962</v>
      </c>
      <c r="G15" s="3">
        <f>SUM(G2:G14)</f>
        <v>533</v>
      </c>
      <c r="H15" s="3">
        <f>SUM(H2:H14)</f>
        <v>876</v>
      </c>
    </row>
    <row r="16" spans="1:8" x14ac:dyDescent="0.3">
      <c r="A16" s="2"/>
      <c r="B16" s="3"/>
      <c r="C16" s="3"/>
      <c r="D16" s="5">
        <f t="shared" ref="D16:H16" si="0">SUBTOTAL(109,D15)/SUBTOTAL(109,$D$15:$H$15)</f>
        <v>0.21123650637880276</v>
      </c>
      <c r="E16" s="5">
        <f t="shared" si="0"/>
        <v>0.20706575073601571</v>
      </c>
      <c r="F16" s="5">
        <f t="shared" si="0"/>
        <v>0.23601570166830227</v>
      </c>
      <c r="G16" s="5">
        <f t="shared" si="0"/>
        <v>0.13076545632973505</v>
      </c>
      <c r="H16" s="5">
        <f t="shared" si="0"/>
        <v>0.21491658488714427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AFA97-3B23-4A4B-8A23-B91531A24B60}">
  <dimension ref="A1:A9"/>
  <sheetViews>
    <sheetView zoomScaleNormal="100" workbookViewId="0">
      <selection sqref="A1:A9"/>
    </sheetView>
  </sheetViews>
  <sheetFormatPr defaultRowHeight="14.4" x14ac:dyDescent="0.3"/>
  <cols>
    <col min="1" max="1" width="12.21875" bestFit="1" customWidth="1"/>
  </cols>
  <sheetData>
    <row r="1" spans="1:1" x14ac:dyDescent="0.3">
      <c r="A1" t="s">
        <v>54</v>
      </c>
    </row>
    <row r="2" spans="1:1" x14ac:dyDescent="0.3">
      <c r="A2" t="s">
        <v>55</v>
      </c>
    </row>
    <row r="3" spans="1:1" x14ac:dyDescent="0.3">
      <c r="A3" t="s">
        <v>56</v>
      </c>
    </row>
    <row r="4" spans="1:1" x14ac:dyDescent="0.3">
      <c r="A4" t="s">
        <v>57</v>
      </c>
    </row>
    <row r="5" spans="1:1" x14ac:dyDescent="0.3">
      <c r="A5" t="s">
        <v>58</v>
      </c>
    </row>
    <row r="6" spans="1:1" x14ac:dyDescent="0.3">
      <c r="A6" t="s">
        <v>59</v>
      </c>
    </row>
    <row r="7" spans="1:1" x14ac:dyDescent="0.3">
      <c r="A7" t="s">
        <v>60</v>
      </c>
    </row>
    <row r="8" spans="1:1" x14ac:dyDescent="0.3">
      <c r="A8" t="s">
        <v>61</v>
      </c>
    </row>
    <row r="9" spans="1:1" x14ac:dyDescent="0.3">
      <c r="A9" t="s">
        <v>62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47CB5-C069-40EB-9D6D-B0FBEC147598}">
  <dimension ref="A1:H9"/>
  <sheetViews>
    <sheetView zoomScale="155" zoomScaleNormal="190" workbookViewId="0">
      <selection activeCell="J9" sqref="J9"/>
    </sheetView>
  </sheetViews>
  <sheetFormatPr defaultRowHeight="14.4" x14ac:dyDescent="0.3"/>
  <cols>
    <col min="2" max="2" width="9.44140625" customWidth="1"/>
    <col min="3" max="3" width="13" customWidth="1"/>
    <col min="4" max="4" width="14.5546875" customWidth="1"/>
    <col min="5" max="5" width="3.88671875" hidden="1" customWidth="1"/>
    <col min="6" max="6" width="12.21875" customWidth="1"/>
    <col min="7" max="7" width="13.33203125" customWidth="1"/>
    <col min="8" max="8" width="12.21875" bestFit="1" customWidth="1"/>
  </cols>
  <sheetData>
    <row r="1" spans="1:8" x14ac:dyDescent="0.3">
      <c r="A1" s="21" t="s">
        <v>34</v>
      </c>
      <c r="B1" s="21"/>
      <c r="D1" s="21" t="s">
        <v>43</v>
      </c>
      <c r="E1" s="21"/>
      <c r="F1" t="s">
        <v>39</v>
      </c>
      <c r="G1" t="s">
        <v>51</v>
      </c>
      <c r="H1" t="s">
        <v>54</v>
      </c>
    </row>
    <row r="2" spans="1:8" x14ac:dyDescent="0.3">
      <c r="A2" s="7">
        <v>56</v>
      </c>
      <c r="B2">
        <v>898</v>
      </c>
      <c r="C2" t="str">
        <f>TEXT(B2,"0000")</f>
        <v>0898</v>
      </c>
      <c r="D2" s="10" t="s">
        <v>40</v>
      </c>
      <c r="F2" s="9" t="s">
        <v>40</v>
      </c>
      <c r="G2">
        <v>867</v>
      </c>
      <c r="H2" t="s">
        <v>55</v>
      </c>
    </row>
    <row r="3" spans="1:8" x14ac:dyDescent="0.3">
      <c r="A3" s="7">
        <v>67</v>
      </c>
      <c r="B3">
        <v>456</v>
      </c>
      <c r="C3" t="str">
        <f t="shared" ref="C3:C8" si="0">TEXT(B3,"0000")</f>
        <v>0456</v>
      </c>
      <c r="D3" s="10" t="s">
        <v>44</v>
      </c>
      <c r="F3" s="9" t="s">
        <v>41</v>
      </c>
      <c r="G3">
        <v>45</v>
      </c>
      <c r="H3" t="s">
        <v>56</v>
      </c>
    </row>
    <row r="4" spans="1:8" x14ac:dyDescent="0.3">
      <c r="A4" s="7">
        <v>4567</v>
      </c>
      <c r="B4">
        <v>32</v>
      </c>
      <c r="C4" t="str">
        <f t="shared" si="0"/>
        <v>0032</v>
      </c>
      <c r="D4" s="11" t="s">
        <v>45</v>
      </c>
      <c r="F4" s="9" t="s">
        <v>42</v>
      </c>
      <c r="G4" s="6" t="s">
        <v>52</v>
      </c>
      <c r="H4" t="s">
        <v>57</v>
      </c>
    </row>
    <row r="5" spans="1:8" x14ac:dyDescent="0.3">
      <c r="A5" s="7">
        <v>56</v>
      </c>
      <c r="B5" s="6" t="s">
        <v>35</v>
      </c>
      <c r="C5" t="str">
        <f t="shared" si="0"/>
        <v>S443DE</v>
      </c>
      <c r="D5" s="11" t="s">
        <v>46</v>
      </c>
      <c r="F5" s="9" t="s">
        <v>41</v>
      </c>
      <c r="G5" s="6" t="s">
        <v>53</v>
      </c>
      <c r="H5" t="s">
        <v>58</v>
      </c>
    </row>
    <row r="6" spans="1:8" x14ac:dyDescent="0.3">
      <c r="A6" s="8" t="s">
        <v>48</v>
      </c>
      <c r="B6" s="6" t="s">
        <v>36</v>
      </c>
      <c r="C6" t="str">
        <f t="shared" si="0"/>
        <v>OER55</v>
      </c>
      <c r="D6" t="s">
        <v>47</v>
      </c>
      <c r="G6">
        <v>9876</v>
      </c>
      <c r="H6" t="s">
        <v>59</v>
      </c>
    </row>
    <row r="7" spans="1:8" x14ac:dyDescent="0.3">
      <c r="A7" s="8" t="s">
        <v>49</v>
      </c>
      <c r="B7" s="6" t="s">
        <v>37</v>
      </c>
      <c r="C7" t="str">
        <f t="shared" si="0"/>
        <v>MDF543</v>
      </c>
      <c r="G7">
        <v>56</v>
      </c>
      <c r="H7" t="s">
        <v>60</v>
      </c>
    </row>
    <row r="8" spans="1:8" x14ac:dyDescent="0.3">
      <c r="A8" s="8" t="s">
        <v>50</v>
      </c>
      <c r="B8" s="6" t="s">
        <v>38</v>
      </c>
      <c r="C8" t="str">
        <f t="shared" si="0"/>
        <v>4839H</v>
      </c>
      <c r="G8">
        <v>87</v>
      </c>
      <c r="H8" t="s">
        <v>61</v>
      </c>
    </row>
    <row r="9" spans="1:8" x14ac:dyDescent="0.3">
      <c r="G9" s="6" t="s">
        <v>63</v>
      </c>
      <c r="H9" t="s">
        <v>64</v>
      </c>
    </row>
  </sheetData>
  <mergeCells count="2">
    <mergeCell ref="A1:B1"/>
    <mergeCell ref="D1:E1"/>
  </mergeCells>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E55B3-98C5-4511-A44D-C121B4D95D3B}">
  <dimension ref="A1:P7"/>
  <sheetViews>
    <sheetView workbookViewId="0">
      <selection activeCell="E15" sqref="E15"/>
    </sheetView>
  </sheetViews>
  <sheetFormatPr defaultRowHeight="14.4" x14ac:dyDescent="0.3"/>
  <cols>
    <col min="1" max="1" width="12.77734375" bestFit="1" customWidth="1"/>
    <col min="2" max="3" width="10.44140625" bestFit="1" customWidth="1"/>
  </cols>
  <sheetData>
    <row r="1" spans="1:16" x14ac:dyDescent="0.3">
      <c r="A1" s="12" t="s">
        <v>65</v>
      </c>
      <c r="B1" s="12" t="s">
        <v>71</v>
      </c>
      <c r="C1" s="12" t="s">
        <v>74</v>
      </c>
    </row>
    <row r="2" spans="1:16" x14ac:dyDescent="0.3">
      <c r="A2" t="s">
        <v>66</v>
      </c>
      <c r="B2" s="14">
        <v>25000</v>
      </c>
      <c r="C2" s="14">
        <v>30000</v>
      </c>
    </row>
    <row r="3" spans="1:16" x14ac:dyDescent="0.3">
      <c r="A3" t="s">
        <v>67</v>
      </c>
      <c r="B3" s="14">
        <v>35000</v>
      </c>
      <c r="C3" s="14">
        <v>23000</v>
      </c>
      <c r="P3" t="s">
        <v>72</v>
      </c>
    </row>
    <row r="4" spans="1:16" x14ac:dyDescent="0.3">
      <c r="A4" t="s">
        <v>68</v>
      </c>
      <c r="B4" s="14">
        <v>20000</v>
      </c>
      <c r="C4" s="14">
        <v>25000</v>
      </c>
    </row>
    <row r="5" spans="1:16" x14ac:dyDescent="0.3">
      <c r="A5" t="s">
        <v>69</v>
      </c>
      <c r="B5" s="14">
        <v>40000</v>
      </c>
      <c r="C5" s="14">
        <v>40000</v>
      </c>
    </row>
    <row r="6" spans="1:16" x14ac:dyDescent="0.3">
      <c r="A6" t="s">
        <v>70</v>
      </c>
      <c r="B6" s="14">
        <v>38000</v>
      </c>
      <c r="C6" s="14">
        <v>20000</v>
      </c>
    </row>
    <row r="7" spans="1:16" x14ac:dyDescent="0.3">
      <c r="C7" t="s">
        <v>73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B867E-1A0F-481C-AAAD-BE9E5DBC59DE}">
  <dimension ref="A1:K31"/>
  <sheetViews>
    <sheetView topLeftCell="E1" zoomScale="131" workbookViewId="0">
      <selection activeCell="K2" sqref="K2"/>
    </sheetView>
  </sheetViews>
  <sheetFormatPr defaultRowHeight="14.4" x14ac:dyDescent="0.3"/>
  <cols>
    <col min="1" max="1" width="11.33203125" bestFit="1" customWidth="1"/>
    <col min="2" max="2" width="13.6640625" customWidth="1"/>
    <col min="4" max="4" width="12.5546875" customWidth="1"/>
    <col min="5" max="5" width="12.77734375" customWidth="1"/>
    <col min="6" max="6" width="15.21875" customWidth="1"/>
    <col min="7" max="7" width="18.88671875" customWidth="1"/>
    <col min="8" max="8" width="16.21875" customWidth="1"/>
    <col min="9" max="9" width="12.5546875" bestFit="1" customWidth="1"/>
    <col min="11" max="11" width="15.21875" bestFit="1" customWidth="1"/>
  </cols>
  <sheetData>
    <row r="1" spans="1:11" ht="28.8" x14ac:dyDescent="0.3">
      <c r="A1" s="15" t="s">
        <v>75</v>
      </c>
      <c r="B1" s="15" t="s">
        <v>76</v>
      </c>
      <c r="C1" s="15" t="s">
        <v>77</v>
      </c>
      <c r="D1" s="15" t="s">
        <v>78</v>
      </c>
      <c r="E1" s="15" t="s">
        <v>79</v>
      </c>
      <c r="F1" s="15" t="s">
        <v>80</v>
      </c>
      <c r="G1" s="15" t="s">
        <v>81</v>
      </c>
      <c r="H1" s="15" t="s">
        <v>82</v>
      </c>
      <c r="I1" s="15" t="s">
        <v>101</v>
      </c>
      <c r="K1" s="15" t="s">
        <v>102</v>
      </c>
    </row>
    <row r="2" spans="1:11" x14ac:dyDescent="0.3">
      <c r="A2" s="16">
        <v>44563</v>
      </c>
      <c r="B2" s="17" t="s">
        <v>83</v>
      </c>
      <c r="C2" s="17" t="s">
        <v>84</v>
      </c>
      <c r="D2" s="17" t="s">
        <v>85</v>
      </c>
      <c r="E2" s="17">
        <v>40</v>
      </c>
      <c r="F2" s="20">
        <v>55000</v>
      </c>
      <c r="G2" s="20">
        <v>42000</v>
      </c>
      <c r="H2" s="20">
        <v>2200000</v>
      </c>
      <c r="I2" s="14">
        <f>H2-(G2*E2)</f>
        <v>520000</v>
      </c>
      <c r="K2" s="13">
        <f>SUM(H2:H31)</f>
        <v>33800000</v>
      </c>
    </row>
    <row r="3" spans="1:11" x14ac:dyDescent="0.3">
      <c r="A3" s="16">
        <v>44566</v>
      </c>
      <c r="B3" s="17" t="s">
        <v>86</v>
      </c>
      <c r="C3" s="17" t="s">
        <v>87</v>
      </c>
      <c r="D3" s="17" t="s">
        <v>88</v>
      </c>
      <c r="E3" s="17">
        <v>70</v>
      </c>
      <c r="F3" s="20">
        <v>20000</v>
      </c>
      <c r="G3" s="20">
        <v>15000</v>
      </c>
      <c r="H3" s="20">
        <v>1400000</v>
      </c>
      <c r="I3" s="14">
        <f t="shared" ref="I3:I31" si="0">H3-(G3*E3)</f>
        <v>350000</v>
      </c>
      <c r="K3" s="12" t="s">
        <v>103</v>
      </c>
    </row>
    <row r="4" spans="1:11" x14ac:dyDescent="0.3">
      <c r="A4" s="16">
        <v>44570</v>
      </c>
      <c r="B4" s="17" t="s">
        <v>89</v>
      </c>
      <c r="C4" s="17" t="s">
        <v>90</v>
      </c>
      <c r="D4" s="17" t="s">
        <v>91</v>
      </c>
      <c r="E4" s="17">
        <v>55</v>
      </c>
      <c r="F4" s="20">
        <v>15000</v>
      </c>
      <c r="G4" s="20">
        <v>11000</v>
      </c>
      <c r="H4" s="20">
        <v>825000</v>
      </c>
      <c r="I4" s="14">
        <f t="shared" si="0"/>
        <v>220000</v>
      </c>
      <c r="K4" s="13">
        <f>SUM(E2:E31)</f>
        <v>2255</v>
      </c>
    </row>
    <row r="5" spans="1:11" x14ac:dyDescent="0.3">
      <c r="A5" s="16">
        <v>44573</v>
      </c>
      <c r="B5" s="17" t="s">
        <v>92</v>
      </c>
      <c r="C5" s="17" t="s">
        <v>93</v>
      </c>
      <c r="D5" s="17" t="s">
        <v>94</v>
      </c>
      <c r="E5" s="17">
        <v>110</v>
      </c>
      <c r="F5" s="20">
        <v>3000</v>
      </c>
      <c r="G5" s="20">
        <v>2000</v>
      </c>
      <c r="H5" s="20">
        <v>330000</v>
      </c>
      <c r="I5" s="14">
        <f t="shared" si="0"/>
        <v>110000</v>
      </c>
      <c r="K5" s="12" t="s">
        <v>104</v>
      </c>
    </row>
    <row r="6" spans="1:11" x14ac:dyDescent="0.3">
      <c r="A6" s="16">
        <v>44576</v>
      </c>
      <c r="B6" s="17" t="s">
        <v>95</v>
      </c>
      <c r="C6" s="17" t="s">
        <v>84</v>
      </c>
      <c r="D6" s="17" t="s">
        <v>96</v>
      </c>
      <c r="E6" s="17">
        <v>60</v>
      </c>
      <c r="F6" s="20">
        <v>10000</v>
      </c>
      <c r="G6" s="20">
        <v>7000</v>
      </c>
      <c r="H6" s="20">
        <v>600000</v>
      </c>
      <c r="I6" s="14">
        <f t="shared" si="0"/>
        <v>180000</v>
      </c>
      <c r="K6" s="13">
        <f>SUM(I2:I31)</f>
        <v>8775000</v>
      </c>
    </row>
    <row r="7" spans="1:11" x14ac:dyDescent="0.3">
      <c r="A7" s="16">
        <v>44579</v>
      </c>
      <c r="B7" s="17" t="s">
        <v>97</v>
      </c>
      <c r="C7" s="17" t="s">
        <v>87</v>
      </c>
      <c r="D7" s="17" t="s">
        <v>85</v>
      </c>
      <c r="E7" s="17">
        <v>30</v>
      </c>
      <c r="F7" s="20">
        <v>55000</v>
      </c>
      <c r="G7" s="20">
        <v>42000</v>
      </c>
      <c r="H7" s="20">
        <v>1650000</v>
      </c>
      <c r="I7" s="14">
        <f t="shared" si="0"/>
        <v>390000</v>
      </c>
      <c r="K7" s="12" t="s">
        <v>105</v>
      </c>
    </row>
    <row r="8" spans="1:11" x14ac:dyDescent="0.3">
      <c r="A8" s="16">
        <v>44582</v>
      </c>
      <c r="B8" s="17" t="s">
        <v>13</v>
      </c>
      <c r="C8" s="17" t="s">
        <v>90</v>
      </c>
      <c r="D8" s="17" t="s">
        <v>88</v>
      </c>
      <c r="E8" s="17">
        <v>85</v>
      </c>
      <c r="F8" s="20">
        <v>20000</v>
      </c>
      <c r="G8" s="20">
        <v>15000</v>
      </c>
      <c r="H8" s="20">
        <v>1700000</v>
      </c>
      <c r="I8" s="14">
        <f t="shared" si="0"/>
        <v>425000</v>
      </c>
      <c r="K8" s="13">
        <f>AVERAGE(H2:H31)</f>
        <v>1126666.6666666667</v>
      </c>
    </row>
    <row r="9" spans="1:11" x14ac:dyDescent="0.3">
      <c r="A9" s="16">
        <v>44586</v>
      </c>
      <c r="B9" s="17" t="s">
        <v>98</v>
      </c>
      <c r="C9" s="17" t="s">
        <v>93</v>
      </c>
      <c r="D9" s="17" t="s">
        <v>91</v>
      </c>
      <c r="E9" s="17">
        <v>45</v>
      </c>
      <c r="F9" s="20">
        <v>15000</v>
      </c>
      <c r="G9" s="20">
        <v>11000</v>
      </c>
      <c r="H9" s="20">
        <v>675000</v>
      </c>
      <c r="I9" s="14">
        <f t="shared" si="0"/>
        <v>180000</v>
      </c>
    </row>
    <row r="10" spans="1:11" x14ac:dyDescent="0.3">
      <c r="A10" s="16">
        <v>44589</v>
      </c>
      <c r="B10" s="17" t="s">
        <v>99</v>
      </c>
      <c r="C10" s="17" t="s">
        <v>84</v>
      </c>
      <c r="D10" s="17" t="s">
        <v>96</v>
      </c>
      <c r="E10" s="17">
        <v>75</v>
      </c>
      <c r="F10" s="20">
        <v>10000</v>
      </c>
      <c r="G10" s="20">
        <v>7000</v>
      </c>
      <c r="H10" s="20">
        <v>750000</v>
      </c>
      <c r="I10" s="14">
        <f t="shared" si="0"/>
        <v>225000</v>
      </c>
    </row>
    <row r="11" spans="1:11" x14ac:dyDescent="0.3">
      <c r="A11" s="16">
        <v>44592</v>
      </c>
      <c r="B11" s="17" t="s">
        <v>100</v>
      </c>
      <c r="C11" s="17" t="s">
        <v>87</v>
      </c>
      <c r="D11" s="17" t="s">
        <v>94</v>
      </c>
      <c r="E11" s="17">
        <v>130</v>
      </c>
      <c r="F11" s="20">
        <v>3000</v>
      </c>
      <c r="G11" s="20">
        <v>2000</v>
      </c>
      <c r="H11" s="20">
        <v>390000</v>
      </c>
      <c r="I11" s="14">
        <f t="shared" si="0"/>
        <v>130000</v>
      </c>
    </row>
    <row r="12" spans="1:11" x14ac:dyDescent="0.3">
      <c r="A12" s="16">
        <v>44596</v>
      </c>
      <c r="B12" s="17" t="s">
        <v>83</v>
      </c>
      <c r="C12" s="17" t="s">
        <v>90</v>
      </c>
      <c r="D12" s="17" t="s">
        <v>85</v>
      </c>
      <c r="E12" s="17">
        <v>35</v>
      </c>
      <c r="F12" s="20">
        <v>55000</v>
      </c>
      <c r="G12" s="20">
        <v>42000</v>
      </c>
      <c r="H12" s="20">
        <v>1925000</v>
      </c>
      <c r="I12" s="14">
        <f t="shared" si="0"/>
        <v>455000</v>
      </c>
    </row>
    <row r="13" spans="1:11" x14ac:dyDescent="0.3">
      <c r="A13" s="16">
        <v>44600</v>
      </c>
      <c r="B13" s="17" t="s">
        <v>86</v>
      </c>
      <c r="C13" s="17" t="s">
        <v>93</v>
      </c>
      <c r="D13" s="17" t="s">
        <v>88</v>
      </c>
      <c r="E13" s="17">
        <v>65</v>
      </c>
      <c r="F13" s="20">
        <v>20000</v>
      </c>
      <c r="G13" s="20">
        <v>15000</v>
      </c>
      <c r="H13" s="20">
        <v>1300000</v>
      </c>
      <c r="I13" s="14">
        <f t="shared" si="0"/>
        <v>325000</v>
      </c>
    </row>
    <row r="14" spans="1:11" x14ac:dyDescent="0.3">
      <c r="A14" s="16">
        <v>44603</v>
      </c>
      <c r="B14" s="17" t="s">
        <v>89</v>
      </c>
      <c r="C14" s="17" t="s">
        <v>84</v>
      </c>
      <c r="D14" s="17" t="s">
        <v>91</v>
      </c>
      <c r="E14" s="17">
        <v>50</v>
      </c>
      <c r="F14" s="20">
        <v>15000</v>
      </c>
      <c r="G14" s="20">
        <v>11000</v>
      </c>
      <c r="H14" s="20">
        <v>750000</v>
      </c>
      <c r="I14" s="14">
        <f t="shared" si="0"/>
        <v>200000</v>
      </c>
    </row>
    <row r="15" spans="1:11" x14ac:dyDescent="0.3">
      <c r="A15" s="16">
        <v>44606</v>
      </c>
      <c r="B15" s="17" t="s">
        <v>92</v>
      </c>
      <c r="C15" s="17" t="s">
        <v>87</v>
      </c>
      <c r="D15" s="17" t="s">
        <v>96</v>
      </c>
      <c r="E15" s="17">
        <v>70</v>
      </c>
      <c r="F15" s="20">
        <v>10000</v>
      </c>
      <c r="G15" s="20">
        <v>7000</v>
      </c>
      <c r="H15" s="20">
        <v>700000</v>
      </c>
      <c r="I15" s="14">
        <f t="shared" si="0"/>
        <v>210000</v>
      </c>
    </row>
    <row r="16" spans="1:11" x14ac:dyDescent="0.3">
      <c r="A16" s="16">
        <v>44609</v>
      </c>
      <c r="B16" s="17" t="s">
        <v>95</v>
      </c>
      <c r="C16" s="17" t="s">
        <v>90</v>
      </c>
      <c r="D16" s="17" t="s">
        <v>94</v>
      </c>
      <c r="E16" s="17">
        <v>140</v>
      </c>
      <c r="F16" s="20">
        <v>3000</v>
      </c>
      <c r="G16" s="20">
        <v>2000</v>
      </c>
      <c r="H16" s="20">
        <v>420000</v>
      </c>
      <c r="I16" s="14">
        <f t="shared" si="0"/>
        <v>140000</v>
      </c>
    </row>
    <row r="17" spans="1:9" x14ac:dyDescent="0.3">
      <c r="A17" s="16">
        <v>44612</v>
      </c>
      <c r="B17" s="17" t="s">
        <v>97</v>
      </c>
      <c r="C17" s="17" t="s">
        <v>93</v>
      </c>
      <c r="D17" s="17" t="s">
        <v>85</v>
      </c>
      <c r="E17" s="17">
        <v>42</v>
      </c>
      <c r="F17" s="20">
        <v>55000</v>
      </c>
      <c r="G17" s="20">
        <v>42000</v>
      </c>
      <c r="H17" s="20">
        <v>2310000</v>
      </c>
      <c r="I17" s="14">
        <f t="shared" si="0"/>
        <v>546000</v>
      </c>
    </row>
    <row r="18" spans="1:9" x14ac:dyDescent="0.3">
      <c r="A18" s="16">
        <v>44615</v>
      </c>
      <c r="B18" s="17" t="s">
        <v>13</v>
      </c>
      <c r="C18" s="17" t="s">
        <v>84</v>
      </c>
      <c r="D18" s="17" t="s">
        <v>88</v>
      </c>
      <c r="E18" s="17">
        <v>95</v>
      </c>
      <c r="F18" s="20">
        <v>20000</v>
      </c>
      <c r="G18" s="20">
        <v>15000</v>
      </c>
      <c r="H18" s="20">
        <v>1900000</v>
      </c>
      <c r="I18" s="14">
        <f t="shared" si="0"/>
        <v>475000</v>
      </c>
    </row>
    <row r="19" spans="1:9" x14ac:dyDescent="0.3">
      <c r="A19" s="16">
        <v>44618</v>
      </c>
      <c r="B19" s="17" t="s">
        <v>98</v>
      </c>
      <c r="C19" s="17" t="s">
        <v>87</v>
      </c>
      <c r="D19" s="17" t="s">
        <v>91</v>
      </c>
      <c r="E19" s="17">
        <v>48</v>
      </c>
      <c r="F19" s="20">
        <v>15000</v>
      </c>
      <c r="G19" s="20">
        <v>11000</v>
      </c>
      <c r="H19" s="20">
        <v>720000</v>
      </c>
      <c r="I19" s="14">
        <f t="shared" si="0"/>
        <v>192000</v>
      </c>
    </row>
    <row r="20" spans="1:9" x14ac:dyDescent="0.3">
      <c r="A20" s="16">
        <v>44621</v>
      </c>
      <c r="B20" s="17" t="s">
        <v>99</v>
      </c>
      <c r="C20" s="17" t="s">
        <v>90</v>
      </c>
      <c r="D20" s="17" t="s">
        <v>96</v>
      </c>
      <c r="E20" s="17">
        <v>82</v>
      </c>
      <c r="F20" s="20">
        <v>10000</v>
      </c>
      <c r="G20" s="20">
        <v>7000</v>
      </c>
      <c r="H20" s="20">
        <v>820000</v>
      </c>
      <c r="I20" s="14">
        <f t="shared" si="0"/>
        <v>246000</v>
      </c>
    </row>
    <row r="21" spans="1:9" x14ac:dyDescent="0.3">
      <c r="A21" s="16">
        <v>44624</v>
      </c>
      <c r="B21" s="17" t="s">
        <v>100</v>
      </c>
      <c r="C21" s="17" t="s">
        <v>93</v>
      </c>
      <c r="D21" s="17" t="s">
        <v>94</v>
      </c>
      <c r="E21" s="17">
        <v>125</v>
      </c>
      <c r="F21" s="20">
        <v>3000</v>
      </c>
      <c r="G21" s="20">
        <v>2000</v>
      </c>
      <c r="H21" s="20">
        <v>375000</v>
      </c>
      <c r="I21" s="14">
        <f t="shared" si="0"/>
        <v>125000</v>
      </c>
    </row>
    <row r="22" spans="1:9" x14ac:dyDescent="0.3">
      <c r="A22" s="16">
        <v>44627</v>
      </c>
      <c r="B22" s="17" t="s">
        <v>83</v>
      </c>
      <c r="C22" s="17" t="s">
        <v>84</v>
      </c>
      <c r="D22" s="17" t="s">
        <v>85</v>
      </c>
      <c r="E22" s="17">
        <v>38</v>
      </c>
      <c r="F22" s="20">
        <v>55000</v>
      </c>
      <c r="G22" s="20">
        <v>42000</v>
      </c>
      <c r="H22" s="20">
        <v>2090000</v>
      </c>
      <c r="I22" s="14">
        <f t="shared" si="0"/>
        <v>494000</v>
      </c>
    </row>
    <row r="23" spans="1:9" x14ac:dyDescent="0.3">
      <c r="A23" s="16">
        <v>44630</v>
      </c>
      <c r="B23" s="17" t="s">
        <v>86</v>
      </c>
      <c r="C23" s="17" t="s">
        <v>87</v>
      </c>
      <c r="D23" s="17" t="s">
        <v>88</v>
      </c>
      <c r="E23" s="17">
        <v>78</v>
      </c>
      <c r="F23" s="20">
        <v>20000</v>
      </c>
      <c r="G23" s="20">
        <v>15000</v>
      </c>
      <c r="H23" s="20">
        <v>1560000</v>
      </c>
      <c r="I23" s="14">
        <f t="shared" si="0"/>
        <v>390000</v>
      </c>
    </row>
    <row r="24" spans="1:9" x14ac:dyDescent="0.3">
      <c r="A24" s="16">
        <v>44633</v>
      </c>
      <c r="B24" s="17" t="s">
        <v>89</v>
      </c>
      <c r="C24" s="17" t="s">
        <v>90</v>
      </c>
      <c r="D24" s="17" t="s">
        <v>91</v>
      </c>
      <c r="E24" s="17">
        <v>58</v>
      </c>
      <c r="F24" s="20">
        <v>15000</v>
      </c>
      <c r="G24" s="20">
        <v>11000</v>
      </c>
      <c r="H24" s="20">
        <v>870000</v>
      </c>
      <c r="I24" s="14">
        <f t="shared" si="0"/>
        <v>232000</v>
      </c>
    </row>
    <row r="25" spans="1:9" x14ac:dyDescent="0.3">
      <c r="A25" s="16">
        <v>44636</v>
      </c>
      <c r="B25" s="17" t="s">
        <v>92</v>
      </c>
      <c r="C25" s="17" t="s">
        <v>93</v>
      </c>
      <c r="D25" s="17" t="s">
        <v>96</v>
      </c>
      <c r="E25" s="17">
        <v>73</v>
      </c>
      <c r="F25" s="20">
        <v>10000</v>
      </c>
      <c r="G25" s="20">
        <v>7000</v>
      </c>
      <c r="H25" s="20">
        <v>730000</v>
      </c>
      <c r="I25" s="14">
        <f t="shared" si="0"/>
        <v>219000</v>
      </c>
    </row>
    <row r="26" spans="1:9" x14ac:dyDescent="0.3">
      <c r="A26" s="16">
        <v>44639</v>
      </c>
      <c r="B26" s="17" t="s">
        <v>95</v>
      </c>
      <c r="C26" s="17" t="s">
        <v>84</v>
      </c>
      <c r="D26" s="17" t="s">
        <v>94</v>
      </c>
      <c r="E26" s="17">
        <v>135</v>
      </c>
      <c r="F26" s="20">
        <v>3000</v>
      </c>
      <c r="G26" s="20">
        <v>2000</v>
      </c>
      <c r="H26" s="20">
        <v>405000</v>
      </c>
      <c r="I26" s="14">
        <f t="shared" si="0"/>
        <v>135000</v>
      </c>
    </row>
    <row r="27" spans="1:9" x14ac:dyDescent="0.3">
      <c r="A27" s="16">
        <v>44642</v>
      </c>
      <c r="B27" s="17" t="s">
        <v>97</v>
      </c>
      <c r="C27" s="17" t="s">
        <v>87</v>
      </c>
      <c r="D27" s="17" t="s">
        <v>85</v>
      </c>
      <c r="E27" s="17">
        <v>46</v>
      </c>
      <c r="F27" s="20">
        <v>55000</v>
      </c>
      <c r="G27" s="20">
        <v>42000</v>
      </c>
      <c r="H27" s="20">
        <v>2530000</v>
      </c>
      <c r="I27" s="14">
        <f t="shared" si="0"/>
        <v>598000</v>
      </c>
    </row>
    <row r="28" spans="1:9" x14ac:dyDescent="0.3">
      <c r="A28" s="16">
        <v>44645</v>
      </c>
      <c r="B28" s="17" t="s">
        <v>13</v>
      </c>
      <c r="C28" s="17" t="s">
        <v>90</v>
      </c>
      <c r="D28" s="17" t="s">
        <v>88</v>
      </c>
      <c r="E28" s="17">
        <v>88</v>
      </c>
      <c r="F28" s="20">
        <v>20000</v>
      </c>
      <c r="G28" s="20">
        <v>15000</v>
      </c>
      <c r="H28" s="20">
        <v>1760000</v>
      </c>
      <c r="I28" s="14">
        <f t="shared" si="0"/>
        <v>440000</v>
      </c>
    </row>
    <row r="29" spans="1:9" x14ac:dyDescent="0.3">
      <c r="A29" s="16">
        <v>44648</v>
      </c>
      <c r="B29" s="17" t="s">
        <v>98</v>
      </c>
      <c r="C29" s="17" t="s">
        <v>93</v>
      </c>
      <c r="D29" s="17" t="s">
        <v>91</v>
      </c>
      <c r="E29" s="17">
        <v>52</v>
      </c>
      <c r="F29" s="20">
        <v>15000</v>
      </c>
      <c r="G29" s="20">
        <v>11000</v>
      </c>
      <c r="H29" s="20">
        <v>780000</v>
      </c>
      <c r="I29" s="14">
        <f t="shared" si="0"/>
        <v>208000</v>
      </c>
    </row>
    <row r="30" spans="1:9" x14ac:dyDescent="0.3">
      <c r="A30" s="16">
        <v>44650</v>
      </c>
      <c r="B30" s="17" t="s">
        <v>99</v>
      </c>
      <c r="C30" s="17" t="s">
        <v>84</v>
      </c>
      <c r="D30" s="17" t="s">
        <v>96</v>
      </c>
      <c r="E30" s="17">
        <v>90</v>
      </c>
      <c r="F30" s="20">
        <v>10000</v>
      </c>
      <c r="G30" s="20">
        <v>7000</v>
      </c>
      <c r="H30" s="20">
        <v>900000</v>
      </c>
      <c r="I30" s="14">
        <f t="shared" si="0"/>
        <v>270000</v>
      </c>
    </row>
    <row r="31" spans="1:9" x14ac:dyDescent="0.3">
      <c r="A31" s="16">
        <v>44653</v>
      </c>
      <c r="B31" s="17" t="s">
        <v>100</v>
      </c>
      <c r="C31" s="17" t="s">
        <v>87</v>
      </c>
      <c r="D31" s="17" t="s">
        <v>94</v>
      </c>
      <c r="E31" s="17">
        <v>145</v>
      </c>
      <c r="F31" s="20">
        <v>3000</v>
      </c>
      <c r="G31" s="20">
        <v>2000</v>
      </c>
      <c r="H31" s="20">
        <v>435000</v>
      </c>
      <c r="I31" s="14">
        <f t="shared" si="0"/>
        <v>145000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498DF-67E0-4B6F-880D-4935C02DC44A}">
  <dimension ref="A3:O9"/>
  <sheetViews>
    <sheetView topLeftCell="B3" zoomScale="75" workbookViewId="0">
      <selection activeCell="H10" sqref="H10"/>
    </sheetView>
  </sheetViews>
  <sheetFormatPr defaultRowHeight="14.4" x14ac:dyDescent="0.3"/>
  <cols>
    <col min="1" max="1" width="13.44140625" bestFit="1" customWidth="1"/>
    <col min="2" max="2" width="21.33203125" bestFit="1" customWidth="1"/>
    <col min="5" max="5" width="13.44140625" bestFit="1" customWidth="1"/>
    <col min="6" max="6" width="21.33203125" bestFit="1" customWidth="1"/>
    <col min="9" max="9" width="13.44140625" bestFit="1" customWidth="1"/>
    <col min="10" max="10" width="21.33203125" bestFit="1" customWidth="1"/>
    <col min="14" max="14" width="13.44140625" bestFit="1" customWidth="1"/>
    <col min="15" max="15" width="16.21875" bestFit="1" customWidth="1"/>
  </cols>
  <sheetData>
    <row r="3" spans="1:15" x14ac:dyDescent="0.3">
      <c r="A3" s="18" t="s">
        <v>106</v>
      </c>
      <c r="B3" t="s">
        <v>107</v>
      </c>
      <c r="E3" s="18" t="s">
        <v>106</v>
      </c>
      <c r="F3" t="s">
        <v>107</v>
      </c>
      <c r="I3" s="18" t="s">
        <v>106</v>
      </c>
      <c r="J3" t="s">
        <v>107</v>
      </c>
      <c r="N3" s="18" t="s">
        <v>106</v>
      </c>
      <c r="O3" t="s">
        <v>108</v>
      </c>
    </row>
    <row r="4" spans="1:15" x14ac:dyDescent="0.3">
      <c r="A4" s="19" t="s">
        <v>87</v>
      </c>
      <c r="B4">
        <v>9385000</v>
      </c>
      <c r="E4" s="19" t="s">
        <v>94</v>
      </c>
      <c r="F4">
        <v>825000</v>
      </c>
      <c r="I4" s="19" t="s">
        <v>100</v>
      </c>
      <c r="J4">
        <v>825000</v>
      </c>
      <c r="N4" s="19" t="s">
        <v>94</v>
      </c>
      <c r="O4">
        <v>275</v>
      </c>
    </row>
    <row r="5" spans="1:15" x14ac:dyDescent="0.3">
      <c r="A5" s="19" t="s">
        <v>102</v>
      </c>
      <c r="B5">
        <v>9385000</v>
      </c>
      <c r="E5" s="19" t="s">
        <v>85</v>
      </c>
      <c r="F5">
        <v>4180000</v>
      </c>
      <c r="I5" s="19" t="s">
        <v>97</v>
      </c>
      <c r="J5">
        <v>4180000</v>
      </c>
      <c r="N5" s="19" t="s">
        <v>85</v>
      </c>
      <c r="O5">
        <v>76</v>
      </c>
    </row>
    <row r="6" spans="1:15" x14ac:dyDescent="0.3">
      <c r="E6" s="19" t="s">
        <v>88</v>
      </c>
      <c r="F6">
        <v>2960000</v>
      </c>
      <c r="I6" s="19" t="s">
        <v>98</v>
      </c>
      <c r="J6">
        <v>720000</v>
      </c>
      <c r="N6" s="19" t="s">
        <v>88</v>
      </c>
      <c r="O6">
        <v>148</v>
      </c>
    </row>
    <row r="7" spans="1:15" x14ac:dyDescent="0.3">
      <c r="E7" s="19" t="s">
        <v>96</v>
      </c>
      <c r="F7">
        <v>700000</v>
      </c>
      <c r="I7" s="19" t="s">
        <v>92</v>
      </c>
      <c r="J7">
        <v>700000</v>
      </c>
      <c r="N7" s="19" t="s">
        <v>96</v>
      </c>
      <c r="O7">
        <v>70</v>
      </c>
    </row>
    <row r="8" spans="1:15" x14ac:dyDescent="0.3">
      <c r="E8" s="19" t="s">
        <v>91</v>
      </c>
      <c r="F8">
        <v>720000</v>
      </c>
      <c r="I8" s="19" t="s">
        <v>86</v>
      </c>
      <c r="J8">
        <v>2960000</v>
      </c>
      <c r="N8" s="19" t="s">
        <v>91</v>
      </c>
      <c r="O8">
        <v>48</v>
      </c>
    </row>
    <row r="9" spans="1:15" x14ac:dyDescent="0.3">
      <c r="E9" s="19" t="s">
        <v>102</v>
      </c>
      <c r="F9">
        <v>9385000</v>
      </c>
      <c r="I9" s="19" t="s">
        <v>102</v>
      </c>
      <c r="J9">
        <v>9385000</v>
      </c>
      <c r="N9" s="19" t="s">
        <v>102</v>
      </c>
      <c r="O9">
        <v>617</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FBCDA-690D-44E6-8169-C43A7F7F4FBD}">
  <dimension ref="A1"/>
  <sheetViews>
    <sheetView showGridLines="0" showRowColHeaders="0" tabSelected="1" zoomScale="70" zoomScaleNormal="100" workbookViewId="0">
      <selection activeCell="W26" sqref="W26"/>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0FF797D-0ABA-4D8F-AC08-7DF99EFD8F6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Sheet2</vt:lpstr>
      <vt:lpstr>Table9</vt:lpstr>
      <vt:lpstr>Sheet3</vt:lpstr>
      <vt:lpstr>Sheet4</vt:lpstr>
      <vt:lpstr>Sheet5</vt:lpstr>
      <vt:lpstr>Pivot table</vt:lpstr>
      <vt:lpstr>Dashbord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Suresh kumar G</dc:creator>
  <cp:lastModifiedBy>Suresh kumar G</cp:lastModifiedBy>
  <dcterms:created xsi:type="dcterms:W3CDTF">2026-02-01T16:20:40Z</dcterms:created>
  <dcterms:modified xsi:type="dcterms:W3CDTF">2026-03-09T20:34:51Z</dcterms:modified>
</cp:coreProperties>
</file>